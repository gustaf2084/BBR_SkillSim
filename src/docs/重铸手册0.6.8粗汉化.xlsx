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Project\重铸全面汉化整合版（一定要看使用说明）20250616\"/>
    </mc:Choice>
  </mc:AlternateContent>
  <xr:revisionPtr revIDLastSave="0" documentId="13_ncr:1_{9355401A-E332-448F-8D18-481206D2B2BE}" xr6:coauthVersionLast="47" xr6:coauthVersionMax="47" xr10:uidLastSave="{00000000-0000-0000-0000-000000000000}"/>
  <bookViews>
    <workbookView xWindow="-120" yWindow="-120" windowWidth="29040" windowHeight="16440" xr2:uid="{00000000-000D-0000-FFFF-FFFF00000000}"/>
  </bookViews>
  <sheets>
    <sheet name="重要改动" sheetId="1" r:id="rId1"/>
    <sheet name="特技（暂不翻译，游戏内人物界面点击&quot;动技&quot;按钮更直观" sheetId="2" r:id="rId2"/>
    <sheet name="特技树倍率（重要）" sheetId="3" r:id="rId3"/>
    <sheet name="背景（重要）" sheetId="4" r:id="rId4"/>
    <sheet name="敌人（暂未翻译）" sheetId="5" r:id="rId5"/>
    <sheet name="武器" sheetId="6" r:id="rId6"/>
    <sheet name="护甲" sheetId="7" r:id="rId7"/>
    <sheet name="头盔" sheetId="8" r:id="rId8"/>
    <sheet name="敌人护甲" sheetId="9" r:id="rId9"/>
    <sheet name="新增敌人译名对照"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D9" i="9"/>
  <c r="D8" i="9"/>
  <c r="D7" i="9"/>
  <c r="D6" i="9"/>
  <c r="D5" i="9"/>
  <c r="I4" i="9"/>
  <c r="D4" i="9"/>
  <c r="I3" i="9"/>
  <c r="D3" i="9"/>
  <c r="I2" i="9"/>
  <c r="D2" i="9"/>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E2" i="8"/>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X123" i="6"/>
  <c r="W123" i="6"/>
  <c r="V123" i="6"/>
  <c r="X112" i="6"/>
  <c r="W112" i="6"/>
  <c r="V112" i="6"/>
  <c r="X86" i="6"/>
  <c r="W86" i="6"/>
  <c r="V86" i="6"/>
  <c r="X73" i="6"/>
  <c r="W73" i="6"/>
  <c r="V73" i="6"/>
  <c r="X31" i="6"/>
  <c r="W31" i="6"/>
  <c r="V31" i="6"/>
</calcChain>
</file>

<file path=xl/sharedStrings.xml><?xml version="1.0" encoding="utf-8"?>
<sst xmlns="http://schemas.openxmlformats.org/spreadsheetml/2006/main" count="3308" uniqueCount="2629">
  <si>
    <t>Weapons</t>
  </si>
  <si>
    <t>Duelist</t>
  </si>
  <si>
    <t>Recover</t>
  </si>
  <si>
    <t>Tier 1</t>
  </si>
  <si>
    <t>Tier 2</t>
  </si>
  <si>
    <t>Tier 3</t>
  </si>
  <si>
    <t>Tier 4</t>
  </si>
  <si>
    <t>Tier 5</t>
  </si>
  <si>
    <t>Tier 6</t>
  </si>
  <si>
    <t>General</t>
  </si>
  <si>
    <r>
      <rPr>
        <b/>
        <sz val="11"/>
        <color theme="1"/>
        <rFont val="Calibri, Arial"/>
      </rPr>
      <t xml:space="preserve">Death Dealer (requires Melee AOE Attack)
</t>
    </r>
    <r>
      <rPr>
        <sz val="11"/>
        <color theme="1"/>
        <rFont val="Calibri, Arial"/>
      </rPr>
      <t>Melee Area of Effect attacks gain +10% chance to hit and deal 10% increased damage.</t>
    </r>
  </si>
  <si>
    <r>
      <rPr>
        <b/>
        <sz val="11"/>
        <color theme="1"/>
        <rFont val="Calibri, Arial"/>
      </rPr>
      <t xml:space="preserve">Head Hunter
</t>
    </r>
    <r>
      <rPr>
        <sz val="11"/>
        <color theme="1"/>
        <rFont val="Calibri, Arial"/>
      </rPr>
      <t>Hitting the head of a target will give you a guaranteed hit to the head also with your next hit.
Connecting with your hit will reset the effect.
A miss does not reset the effect.</t>
    </r>
  </si>
  <si>
    <r>
      <rPr>
        <b/>
        <sz val="11"/>
        <color theme="1"/>
        <rFont val="Calibri, Arial"/>
      </rPr>
      <t>Quick Hands</t>
    </r>
    <r>
      <rPr>
        <sz val="11"/>
        <color theme="1"/>
        <rFont val="Calibri, Arial"/>
      </rPr>
      <t xml:space="preserve">
Swapping any item in battle becomes a free action with no Action Point cost once every turn.
Does not work when swapping a shield, or when swapping from one two-handed melee weapon to another two-handed melee weapon.</t>
    </r>
  </si>
  <si>
    <r>
      <rPr>
        <b/>
        <sz val="11"/>
        <color theme="1"/>
        <rFont val="Calibri, Arial"/>
      </rPr>
      <t xml:space="preserve">Combo
</t>
    </r>
    <r>
      <rPr>
        <sz val="11"/>
        <color theme="1"/>
        <rFont val="Calibri, Arial"/>
      </rPr>
      <t>Using any skill that costs Action Points reduces the Action Point cost of all other skills of this character by 1 to a minimum of 3.
This effect refreshes with each skill used.
Using Wait causes the effect to expire.</t>
    </r>
  </si>
  <si>
    <r>
      <rPr>
        <b/>
        <sz val="11"/>
        <color theme="1"/>
        <rFont val="Calibri"/>
        <family val="2"/>
      </rPr>
      <t>Supporter</t>
    </r>
    <r>
      <rPr>
        <sz val="11"/>
        <color theme="1"/>
        <rFont val="Calibri"/>
        <family val="2"/>
      </rPr>
      <t xml:space="preserve">
Once per turn, after you use a skill targeting an adjacent ally, recover 2 Action Points.
Gain Encourage.
</t>
    </r>
    <r>
      <rPr>
        <b/>
        <sz val="11"/>
        <color theme="1"/>
        <rFont val="Calibri"/>
        <family val="2"/>
      </rPr>
      <t>Encourage</t>
    </r>
    <r>
      <rPr>
        <sz val="11"/>
        <color theme="1"/>
        <rFont val="Calibri"/>
        <family val="2"/>
      </rPr>
      <t xml:space="preserve">
 Trigger a positive morale check for an ally within 2 tiles with a bonus of 50% of your Resolve.
Can only be used on characters who are of your faction and whose morale is lower than yours per tile of distance they are away.
Cannot be used on fleeing or stunned targets.
Only usable once per turn.
Cost: 3 AP 15 Fat</t>
    </r>
  </si>
  <si>
    <r>
      <rPr>
        <b/>
        <sz val="11"/>
        <color theme="1"/>
        <rFont val="Calibri"/>
        <family val="2"/>
      </rPr>
      <t>Rally the Troops</t>
    </r>
    <r>
      <rPr>
        <sz val="11"/>
        <color theme="1"/>
        <rFont val="Calibri"/>
        <family val="2"/>
      </rPr>
      <t xml:space="preserve">
Triggers a morale check to raise the morale of anyone of your faction who is wavering or worse within 4 tiles distance, with a bonus to Resolve of 40% of your Resolve. The bonus is lowered by -10 per tile distance except for Fleeing targets.
Removes the Sleeping status effect on allies within range.
Cost: 5 AP, 25 Fat</t>
    </r>
  </si>
  <si>
    <r>
      <rPr>
        <b/>
        <sz val="11"/>
        <color theme="1"/>
        <rFont val="Calibri"/>
        <family val="2"/>
      </rPr>
      <t>Fortified Mind</t>
    </r>
  </si>
  <si>
    <r>
      <rPr>
        <b/>
        <sz val="11"/>
        <color theme="1"/>
        <rFont val="Calibri"/>
        <family val="2"/>
      </rPr>
      <t>Command</t>
    </r>
    <r>
      <rPr>
        <sz val="11"/>
        <color theme="1"/>
        <rFont val="Calibri"/>
        <family val="2"/>
      </rPr>
      <t xml:space="preserve">
Unlocks the Command skill which can be used on an ally within 3 tiles to move them to the next position in the turn sequence.
The target recovers 1 Action Point.
Cost: 5 AP, 20 Fat</t>
    </r>
  </si>
  <si>
    <r>
      <rPr>
        <b/>
        <sz val="11"/>
        <color theme="1"/>
        <rFont val="Calibri, Arial"/>
      </rPr>
      <t xml:space="preserve">Second Wind
</t>
    </r>
    <r>
      <rPr>
        <sz val="11"/>
        <color theme="1"/>
        <rFont val="Calibri, Arial"/>
      </rPr>
      <t>When you use 'Wait', recover Action Points until you have 4 Action Points</t>
    </r>
  </si>
  <si>
    <t xml:space="preserve">Quick Hands
</t>
  </si>
  <si>
    <r>
      <rPr>
        <b/>
        <sz val="11"/>
        <color theme="1"/>
        <rFont val="Calibri, Arial"/>
      </rPr>
      <t xml:space="preserve">Vigilant
</t>
    </r>
    <r>
      <rPr>
        <sz val="11"/>
        <color theme="1"/>
        <rFont val="Calibri, Arial"/>
      </rPr>
      <t>At the end of your turn, gain 1/2 of your remaining Action Points, rounded down, as extra Action Points during your next turn.</t>
    </r>
  </si>
  <si>
    <r>
      <rPr>
        <b/>
        <sz val="11"/>
        <color theme="1"/>
        <rFont val="Calibri, Arial"/>
      </rPr>
      <t xml:space="preserve">Underdog
</t>
    </r>
    <r>
      <rPr>
        <sz val="11"/>
        <color theme="1"/>
        <rFont val="Calibri, Arial"/>
      </rPr>
      <t>The defense malus due to being surrounded by opponents no longer applies to this character.
If an attacker has the Backstabber perk, the effect of that perk is negated, and the normal defense malus due to being surrounded is applied instead.</t>
    </r>
  </si>
  <si>
    <r>
      <t xml:space="preserve">Adrenaline
</t>
    </r>
    <r>
      <rPr>
        <sz val="11"/>
        <color theme="1"/>
        <rFont val="Calibri, Arial"/>
      </rPr>
      <t>Unlocks the Adrenaline skill which puts you first in the turn order for the next round, to have another turn before your enemies do.
While Adrenaline is active you cannot receive and are not affected by temporary injuries.
Cost: 1 AP 10 Fat</t>
    </r>
  </si>
  <si>
    <r>
      <rPr>
        <b/>
        <sz val="11"/>
        <color theme="1"/>
        <rFont val="Calibri"/>
        <family val="2"/>
      </rPr>
      <t>Executioner</t>
    </r>
    <r>
      <rPr>
        <sz val="11"/>
        <color theme="1"/>
        <rFont val="Calibri"/>
        <family val="2"/>
      </rPr>
      <t xml:space="preserve">
Damage is increased by 20% against enemies who have sustained an injury or are sleeping, stunned, netted, webbed or rooted.</t>
    </r>
  </si>
  <si>
    <r>
      <rPr>
        <b/>
        <sz val="11"/>
        <color theme="1"/>
        <rFont val="Calibri"/>
        <family val="2"/>
      </rPr>
      <t>Small Target</t>
    </r>
    <r>
      <rPr>
        <sz val="11"/>
        <color theme="1"/>
        <rFont val="Calibri"/>
        <family val="2"/>
      </rPr>
      <t xml:space="preserve">
All attacks, melee or ranged, gain +10% chance to hit the head.</t>
    </r>
  </si>
  <si>
    <r>
      <rPr>
        <b/>
        <sz val="11"/>
        <color theme="1"/>
        <rFont val="Calibri"/>
        <family val="2"/>
      </rPr>
      <t>Backstabber</t>
    </r>
    <r>
      <rPr>
        <sz val="11"/>
        <color theme="1"/>
        <rFont val="Calibri"/>
        <family val="2"/>
      </rPr>
      <t xml:space="preserve">
The bonus to hitchance in melee is doubled to +10% for each ally surrounding and distracting your target.</t>
    </r>
  </si>
  <si>
    <r>
      <rPr>
        <b/>
        <sz val="11"/>
        <color theme="1"/>
        <rFont val="Calibri"/>
        <family val="2"/>
      </rPr>
      <t xml:space="preserve">Fortified Mind
</t>
    </r>
    <r>
      <rPr>
        <sz val="11"/>
        <color theme="1"/>
        <rFont val="Calibri"/>
        <family val="2"/>
      </rPr>
      <t>Resolve is increased by 25%.</t>
    </r>
  </si>
  <si>
    <t>Knave</t>
  </si>
  <si>
    <r>
      <rPr>
        <b/>
        <sz val="11"/>
        <color theme="1"/>
        <rFont val="Calibri"/>
        <family val="2"/>
      </rPr>
      <t>Cheap Trick (requires Melee Attack)</t>
    </r>
    <r>
      <rPr>
        <sz val="11"/>
        <color theme="1"/>
        <rFont val="Calibri"/>
        <family val="2"/>
      </rPr>
      <t xml:space="preserve">
Unlocks the Cheap Trick skill which increases the chance to hit of your next attack by +25% but reduces the damage by 50%.
Cost: 0 AP 10 Fat</t>
    </r>
  </si>
  <si>
    <r>
      <rPr>
        <b/>
        <sz val="11"/>
        <color theme="1"/>
        <rFont val="Calibri"/>
        <family val="2"/>
      </rPr>
      <t xml:space="preserve">Ghostlike
(requires total armor weight of 20 or less and Melee Weapon with 4 or less Reach)
</t>
    </r>
    <r>
      <rPr>
        <sz val="11"/>
        <color theme="1"/>
        <rFont val="Calibri"/>
        <family val="2"/>
      </rPr>
      <t>When the number of adjacent allies is greater than or equal to the number of adjacent enemies, you may ignore Zone of Control for your next movement action.</t>
    </r>
    <r>
      <rPr>
        <b/>
        <sz val="11"/>
        <color theme="1"/>
        <rFont val="Calibri"/>
        <family val="2"/>
      </rPr>
      <t xml:space="preserve">
</t>
    </r>
    <r>
      <rPr>
        <sz val="11"/>
        <color theme="1"/>
        <rFont val="Calibri"/>
        <family val="2"/>
      </rPr>
      <t>When you end your movement adjacent to an enemy, the next attack against that enemy deals 25% additonal damage and +20% damage ignoring armor. This bonus expires upon taking any action other than an attack.</t>
    </r>
  </si>
  <si>
    <t>Laborer</t>
  </si>
  <si>
    <t>Militia</t>
  </si>
  <si>
    <t>Phalanx</t>
  </si>
  <si>
    <t>Noble</t>
  </si>
  <si>
    <r>
      <rPr>
        <b/>
        <sz val="11"/>
        <color theme="1"/>
        <rFont val="Calibri"/>
        <family val="2"/>
      </rPr>
      <t>Family Pride</t>
    </r>
    <r>
      <rPr>
        <sz val="11"/>
        <color theme="1"/>
        <rFont val="Calibri"/>
        <family val="2"/>
      </rPr>
      <t xml:space="preserve">
Always start battles at Confident morale. 
Resolve is increased by 50% against negative morale checks.
Removes the Insecure and Dastard traits upon being picked.</t>
    </r>
  </si>
  <si>
    <t>Command</t>
  </si>
  <si>
    <t>Pauper</t>
  </si>
  <si>
    <t>Raider</t>
  </si>
  <si>
    <r>
      <rPr>
        <b/>
        <sz val="11"/>
        <color theme="1"/>
        <rFont val="Calibri"/>
        <family val="2"/>
      </rPr>
      <t>Menacing</t>
    </r>
    <r>
      <rPr>
        <sz val="11"/>
        <color theme="1"/>
        <rFont val="Calibri"/>
        <family val="2"/>
      </rPr>
      <t xml:space="preserve">
Lower the Resolve of adjacent enemies by -10.</t>
    </r>
  </si>
  <si>
    <r>
      <rPr>
        <b/>
        <sz val="11"/>
        <color theme="1"/>
        <rFont val="Calibri"/>
        <family val="2"/>
      </rPr>
      <t>Bully</t>
    </r>
    <r>
      <rPr>
        <sz val="11"/>
        <color theme="1"/>
        <rFont val="Calibri"/>
        <family val="2"/>
      </rPr>
      <t xml:space="preserve">
Attacks against characters with a lower morale than you deal 10% more damage per level of morale difference.</t>
    </r>
  </si>
  <si>
    <t>Soldier</t>
  </si>
  <si>
    <r>
      <rPr>
        <b/>
        <sz val="11"/>
        <color theme="1"/>
        <rFont val="Calibri"/>
        <family val="2"/>
      </rPr>
      <t>Exude Confidence</t>
    </r>
    <r>
      <rPr>
        <sz val="11"/>
        <color theme="1"/>
        <rFont val="Calibri"/>
        <family val="2"/>
      </rPr>
      <t xml:space="preserve">
At the start of your turn,if you have at least Steady morale, improve the morale state of adjacent allies by 1 as long as their Morale state is lower than yours.</t>
    </r>
  </si>
  <si>
    <t>Trapper</t>
  </si>
  <si>
    <t>Offhand Training</t>
  </si>
  <si>
    <t>Wildling</t>
  </si>
  <si>
    <t xml:space="preserve">Pathfinder
</t>
  </si>
  <si>
    <t xml:space="preserve">                                                  </t>
  </si>
  <si>
    <r>
      <rPr>
        <b/>
        <sz val="11"/>
        <color theme="1"/>
        <rFont val="Calibri"/>
        <family val="2"/>
      </rPr>
      <t>Leverage (Weapon with a Max Range of 2 tiles)</t>
    </r>
    <r>
      <rPr>
        <sz val="11"/>
        <color theme="1"/>
        <rFont val="Calibri"/>
        <family val="2"/>
      </rPr>
      <t xml:space="preserve">
When attacking a target at a range of 2 tiles, gain +20% chance to hit the head.</t>
    </r>
  </si>
  <si>
    <t>Light Armor</t>
  </si>
  <si>
    <t>Medium Armor</t>
  </si>
  <si>
    <t>Heavy Armor</t>
  </si>
  <si>
    <r>
      <rPr>
        <b/>
        <sz val="11"/>
        <color theme="1"/>
        <rFont val="Calibri, Arial"/>
      </rPr>
      <t>Bulwark</t>
    </r>
    <r>
      <rPr>
        <sz val="11"/>
        <color theme="1"/>
        <rFont val="Calibri, Arial"/>
      </rPr>
      <t xml:space="preserve">
Gain 5% of your combined current head and body armor durability as additional Resolve. This bonus is doubled against negative Morale Checks except mental attacks.</t>
    </r>
  </si>
  <si>
    <r>
      <rPr>
        <b/>
        <sz val="11"/>
        <color theme="1"/>
        <rFont val="Calibri, Arial"/>
      </rPr>
      <t>Battleforged</t>
    </r>
    <r>
      <rPr>
        <sz val="11"/>
        <color theme="1"/>
        <rFont val="Calibri, Arial"/>
      </rPr>
      <t xml:space="preserve">
Armor damage taken is reduced by a percentage equal to 5% of the current total armor value of both body and head armor.
When attacking a target against whom you have a Reach Disadvantage, reduce this disadvantage by 1 for every 300 current combined head and body armor durability you have.
Does not affect damage from mental attacks or status effects.</t>
    </r>
  </si>
  <si>
    <t>Powerful Strikes</t>
  </si>
  <si>
    <r>
      <rPr>
        <b/>
        <sz val="11"/>
        <color theme="1"/>
        <rFont val="Calibri"/>
        <family val="2"/>
      </rPr>
      <t>Crippling Strikes</t>
    </r>
    <r>
      <rPr>
        <sz val="11"/>
        <color theme="1"/>
        <rFont val="Calibri"/>
        <family val="2"/>
      </rPr>
      <t xml:space="preserve">
Lowers the threshold to inflict Injuries by 33% for both Melee and Ranged Attacks.  Attacks can now inflict Injuries on Undead.</t>
    </r>
  </si>
  <si>
    <t>Rotation</t>
  </si>
  <si>
    <r>
      <rPr>
        <b/>
        <sz val="11"/>
        <color theme="1"/>
        <rFont val="Calibri, Arial"/>
      </rPr>
      <t>Sweeping Strikes</t>
    </r>
    <r>
      <rPr>
        <sz val="11"/>
        <color theme="1"/>
        <rFont val="Calibri, Arial"/>
      </rPr>
      <t xml:space="preserve"> </t>
    </r>
    <r>
      <rPr>
        <b/>
        <sz val="11"/>
        <color theme="1"/>
        <rFont val="Calibri, Arial"/>
      </rPr>
      <t>(requires Melee AOE Attack</t>
    </r>
    <r>
      <rPr>
        <sz val="11"/>
        <color theme="1"/>
        <rFont val="Calibri, Arial"/>
      </rPr>
      <t>)
Area of Effect attacks, hit or miss, increase your Reach by +3. The affected targets' Reach is reduced by -3 for their attacks against you.
The effect lasts until the start of your next turn.</t>
    </r>
  </si>
  <si>
    <r>
      <rPr>
        <b/>
        <sz val="11"/>
        <color theme="1"/>
        <rFont val="Calibri, Arial"/>
      </rPr>
      <t>Formidable Approach</t>
    </r>
    <r>
      <rPr>
        <sz val="11"/>
        <color theme="1"/>
        <rFont val="Calibri, Arial"/>
      </rPr>
      <t xml:space="preserve">
Gain +1 Reach. 
The bonus from each point of Reach Advantage you have is increased by +2, without diminishing returns, against enemies in your Zone of Control until they hit you. After being hit this effect expires, but is reset if the Zone of Control is broken.</t>
    </r>
  </si>
  <si>
    <t>Ranged Weapons</t>
  </si>
  <si>
    <r>
      <rPr>
        <b/>
        <sz val="11"/>
        <color theme="1"/>
        <rFont val="Calibri, Arial"/>
      </rPr>
      <t>Bullseye (requires Ranged Weapon)</t>
    </r>
    <r>
      <rPr>
        <sz val="11"/>
        <color theme="1"/>
        <rFont val="Calibri, Arial"/>
      </rPr>
      <t xml:space="preserve">
The penalty to hitchance when shooting at a target you have no clear line of shooting to is reduced from 75% to 50%.
Against targets who are not in cover, an additional +25% of damage ignores armor.</t>
    </r>
  </si>
  <si>
    <r>
      <rPr>
        <b/>
        <sz val="11"/>
        <color theme="1"/>
        <rFont val="Calibri"/>
        <family val="2"/>
      </rPr>
      <t>Nailed It (requires Ranged Attack)</t>
    </r>
    <r>
      <rPr>
        <sz val="11"/>
        <color theme="1"/>
        <rFont val="Calibri"/>
        <family val="2"/>
      </rPr>
      <t xml:space="preserve">
Gain +25% chance to hit the head at a distance of 2 tiles. For every tile beyond that, this bonus is reduced by -5%.
The penalty to hitchance from obstructed line of sight is reduced by 50% at a distance of 2 tiles.</t>
    </r>
  </si>
  <si>
    <t>Overwhelm</t>
  </si>
  <si>
    <t>Shield</t>
  </si>
  <si>
    <r>
      <rPr>
        <b/>
        <sz val="11"/>
        <color theme="1"/>
        <rFont val="Calibri"/>
        <family val="2"/>
      </rPr>
      <t>Exploit Opening</t>
    </r>
    <r>
      <rPr>
        <sz val="11"/>
        <color theme="1"/>
        <rFont val="Calibri"/>
        <family val="2"/>
      </rPr>
      <t xml:space="preserve">
Whenever an opponent misses a Melee attack against you, gain +10% chance to hit against them, or ignore their shield, whichever is greater, for your next attack.</t>
    </r>
  </si>
  <si>
    <r>
      <rPr>
        <b/>
        <sz val="11"/>
        <color theme="1"/>
        <rFont val="Calibri, Arial"/>
      </rPr>
      <t>Phalanx (Requires Shield)</t>
    </r>
    <r>
      <rPr>
        <sz val="11"/>
        <color theme="1"/>
        <rFont val="Calibri, Arial"/>
      </rPr>
      <t xml:space="preserve">
Gain +1 Reach per adjacent ally also equipped with a shield. Does not work with bucklers.
Shieldwall does not expire at the start of your turn if an adjacent ally is also using Shieldwall.</t>
    </r>
  </si>
  <si>
    <t>Swift
Strikes</t>
  </si>
  <si>
    <r>
      <rPr>
        <b/>
        <sz val="11"/>
        <color theme="1"/>
        <rFont val="Calibri, Arial"/>
      </rPr>
      <t>Double Strike (requires Melee Attack)</t>
    </r>
    <r>
      <rPr>
        <sz val="11"/>
        <color theme="1"/>
        <rFont val="Calibri, Arial"/>
      </rPr>
      <t xml:space="preserve">
A successful hit increases the damage of your next attack by 20%.
The effect is lost upon moving, swapping an item, using any skill except a single-target attack, missing an attack, or waiting or ending your turn.</t>
    </r>
  </si>
  <si>
    <r>
      <rPr>
        <b/>
        <sz val="11"/>
        <color theme="1"/>
        <rFont val="Calibri, Arial"/>
      </rPr>
      <t xml:space="preserve">Duelist
(requires Weapon whose primary melee attack has a Base Action Point cost of 4 or less) </t>
    </r>
    <r>
      <rPr>
        <sz val="11"/>
        <color theme="1"/>
        <rFont val="Calibri, Arial"/>
      </rPr>
      <t xml:space="preserve">
Additional damage ignores armor. This bonus is 25% for one-handed weapons, 35% for one-handed weapon with shield, and 15% for two-handed weapons.
Gain +1 Reach when using two-handed weapons.
Shields now also negate the Reach Advantage of the target when attacking.</t>
    </r>
  </si>
  <si>
    <t>ENEMY ONLY PERKS</t>
  </si>
  <si>
    <t>Description</t>
  </si>
  <si>
    <t>Deep Cuts</t>
  </si>
  <si>
    <r>
      <rPr>
        <b/>
        <sz val="11"/>
        <color rgb="FF000000"/>
        <rFont val="Calibri"/>
        <family val="2"/>
      </rPr>
      <t xml:space="preserve">Deep Cuts (requires cutting attack)
</t>
    </r>
    <r>
      <rPr>
        <sz val="11"/>
        <color rgb="FF000000"/>
        <rFont val="Calibri"/>
        <family val="2"/>
      </rPr>
      <t>During your turn, after a successful attack against a target, all subsequent attacks have a 33% reduced threshold to inflict injury and will inflict an additional stack of Bleeding. The effect expires upon switching your target.</t>
    </r>
  </si>
  <si>
    <t>Follow Up</t>
  </si>
  <si>
    <r>
      <rPr>
        <b/>
        <sz val="11"/>
        <color theme="1"/>
        <rFont val="Calibri"/>
        <family val="2"/>
      </rPr>
      <t>Follow Up (requires Two-Handed Melee Weapon)</t>
    </r>
    <r>
      <rPr>
        <sz val="11"/>
        <color theme="1"/>
        <rFont val="Calibri"/>
        <family val="2"/>
      </rPr>
      <t xml:space="preserve">
Unlocks the Follow Up skill, which while not engaged in Melee allows you to do a free attack with -30% Damage against enemies in your attack range who are successfully hit by your allies until your next turn. Adds -10% to the Damage Reduction for each attack, up to a maximum of -90%.
Cost: 4 AP 30 Fat</t>
    </r>
  </si>
  <si>
    <t>Professional</t>
  </si>
  <si>
    <t>Mentor's Presence (skill)</t>
  </si>
  <si>
    <t>Mentor's Presence (effect)</t>
  </si>
  <si>
    <t>Return Favor (effect)</t>
  </si>
  <si>
    <r>
      <rPr>
        <b/>
        <sz val="11"/>
        <color rgb="FF000000"/>
        <rFont val="Calibri"/>
        <family val="2"/>
      </rPr>
      <t>Return Favor (requires Melee Weapon or Unarmed)</t>
    </r>
    <r>
      <rPr>
        <sz val="11"/>
        <color rgb="FF000000"/>
        <rFont val="Calibri"/>
        <family val="2"/>
      </rPr>
      <t xml:space="preserve">
Unlocks the Return Favor skill which when active has a 10% chance to stun, 50% chance to daze and 75% chance to stagger any opponent missing a melee attack against this character.
Immunities and resistances against being stunned still apply.</t>
    </r>
  </si>
  <si>
    <t>Fencer</t>
  </si>
  <si>
    <t>Soul Link</t>
  </si>
  <si>
    <t>Man of Steel</t>
  </si>
  <si>
    <r>
      <rPr>
        <b/>
        <sz val="11"/>
        <color rgb="FF000000"/>
        <rFont val="Calibri"/>
        <family val="2"/>
      </rPr>
      <t>Man of Steel</t>
    </r>
    <r>
      <rPr>
        <sz val="11"/>
        <color rgb="FF000000"/>
        <rFont val="Calibri"/>
        <family val="2"/>
      </rPr>
      <t xml:space="preserve">
Armor penetrating damage received is reduced by 10% of the current durability of the armor piece hit.</t>
    </r>
  </si>
  <si>
    <t>Sundering Strikes</t>
  </si>
  <si>
    <r>
      <rPr>
        <b/>
        <sz val="11"/>
        <color rgb="FF000000"/>
        <rFont val="Calibri"/>
        <family val="2"/>
      </rPr>
      <t>Sundering Strikes</t>
    </r>
    <r>
      <rPr>
        <sz val="11"/>
        <color rgb="FF000000"/>
        <rFont val="Calibri"/>
        <family val="2"/>
      </rPr>
      <t xml:space="preserve">
Effectiveness vs. Armor is increased by +20% for any weapon used.</t>
    </r>
  </si>
  <si>
    <t>Through the Ranks</t>
  </si>
  <si>
    <r>
      <rPr>
        <b/>
        <sz val="11"/>
        <color theme="1"/>
        <rFont val="Calibri"/>
        <family val="2"/>
      </rPr>
      <t>Through the Ranks</t>
    </r>
    <r>
      <rPr>
        <sz val="11"/>
        <color theme="1"/>
        <rFont val="Calibri"/>
        <family val="2"/>
      </rPr>
      <t xml:space="preserve">
Ranged attacks have a 50% reduced chance to inflict friendly fire.</t>
    </r>
  </si>
  <si>
    <t>Vengeful Spite</t>
  </si>
  <si>
    <r>
      <rPr>
        <b/>
        <sz val="11"/>
        <color theme="1"/>
        <rFont val="Calibri"/>
        <family val="2"/>
      </rPr>
      <t>Vengeful Spite</t>
    </r>
    <r>
      <rPr>
        <sz val="11"/>
        <color theme="1"/>
        <rFont val="Calibri"/>
        <family val="2"/>
      </rPr>
      <t xml:space="preserve">
Whenever an ally dies adjacent to this character, gain a stacking 5% increased damage for the remainder of the combat.</t>
    </r>
  </si>
  <si>
    <t>Wear them Down</t>
  </si>
  <si>
    <t>Armor</t>
  </si>
  <si>
    <t>Helmet</t>
  </si>
  <si>
    <t>Basic Mail Shirt
Mail Shirt
Mail Hauberk</t>
  </si>
  <si>
    <t>anatomist_background</t>
  </si>
  <si>
    <t>2 Undertaker Apron
2 Wanderers Coat
1 Reinforced Leather Tunic</t>
  </si>
  <si>
    <t>2 Undertaker Hat
2 Physician Mask
1 Masked Kettle Helmet</t>
  </si>
  <si>
    <t>apprentice_background</t>
  </si>
  <si>
    <t>Linen Tunic
Leather Tunic
Apron</t>
  </si>
  <si>
    <t>assassin_background</t>
  </si>
  <si>
    <t xml:space="preserve">
Thick Dark Tunic</t>
  </si>
  <si>
    <t xml:space="preserve">
Hood</t>
  </si>
  <si>
    <t>assassin_southern_background</t>
  </si>
  <si>
    <t>Thick Nomad Robe
Assassin Robe</t>
  </si>
  <si>
    <t>Assassin Head Wrap</t>
  </si>
  <si>
    <t>barbarian_background</t>
  </si>
  <si>
    <t>Thick Furs Armor
Reinforced Animal Hide Armor
Hide and Bone Armor
Scrap Metal Armor</t>
  </si>
  <si>
    <t>bastard_background</t>
  </si>
  <si>
    <t>Padded Leather
Ragged Surcoat
Padded Surcoat
Basic Mail Shirt</t>
  </si>
  <si>
    <t xml:space="preserve">
Hood
Nasal Helmet
Padded Nasal Helmet</t>
  </si>
  <si>
    <t>beast_hunter_background</t>
  </si>
  <si>
    <t>Leather Tunic
Thick Tunic
Ragged Surcoat</t>
  </si>
  <si>
    <t>Hood
Hunters Hat</t>
  </si>
  <si>
    <t>beggar_background</t>
  </si>
  <si>
    <t>Tattered Sackcloth
Leather Wraps</t>
  </si>
  <si>
    <t>beggar_southern_background</t>
  </si>
  <si>
    <t>belly_dancer_background</t>
  </si>
  <si>
    <t>Apron</t>
  </si>
  <si>
    <t>brawler_background</t>
  </si>
  <si>
    <t>Tattered Sackcloth
Sackcloth
Leather Wraps</t>
  </si>
  <si>
    <t>butcher_background</t>
  </si>
  <si>
    <t>Butcher Apron</t>
  </si>
  <si>
    <t>butcher_southern_background</t>
  </si>
  <si>
    <t>caravan_hand_background</t>
  </si>
  <si>
    <t>1 Thick Tunic
1 Gambeson
1 Padded Leather
2 Leather Tunic</t>
  </si>
  <si>
    <t>caravan_hand_southern_background</t>
  </si>
  <si>
    <t>1 Cloth Sash
1 Nomad Rode
1 Padded Vest
2 Thick Nomad Robe</t>
  </si>
  <si>
    <t>companion_1h_background</t>
  </si>
  <si>
    <t>Padded Surcoat
Ragged Surcoat
Gambeson</t>
  </si>
  <si>
    <t>Open Leather Cap
Aketon Cap
Full Leather Cap
Full Aketon Cap</t>
  </si>
  <si>
    <t>companion_1h_southern_background</t>
  </si>
  <si>
    <t>Thick Nomad Robe
Leather Nomad Robe
Padded Vest</t>
  </si>
  <si>
    <t>Southern Head Wrap
2 Leather Head Wrap</t>
  </si>
  <si>
    <t>companion_2h_background</t>
  </si>
  <si>
    <t>Headscarf
Hood</t>
  </si>
  <si>
    <t>companion_2h_southern_background</t>
  </si>
  <si>
    <t>Thick Tunic
Ragged Surcoat</t>
  </si>
  <si>
    <t>Southern Head Wrap</t>
  </si>
  <si>
    <t>converted_cultist_background</t>
  </si>
  <si>
    <t>cripple_background</t>
  </si>
  <si>
    <t>cripple_southern_background</t>
  </si>
  <si>
    <t>crucified_background</t>
  </si>
  <si>
    <t>crusader_background</t>
  </si>
  <si>
    <t>Zweihander</t>
  </si>
  <si>
    <t>Mail Hauberk</t>
  </si>
  <si>
    <t>Full Helm</t>
  </si>
  <si>
    <t>cultist_background</t>
  </si>
  <si>
    <t>Tattered Sackcloth
Leather Wraps
Monk Robe
Cultist Leather Robe</t>
  </si>
  <si>
    <t>Cultist Hood
Hood
Cultist Leather Hood</t>
  </si>
  <si>
    <t>daytaler_background</t>
  </si>
  <si>
    <t>Sackcloth
Linen Tunic</t>
  </si>
  <si>
    <t>daytaler_southern_background</t>
  </si>
  <si>
    <t>Sackcloth
Cloth Sash</t>
  </si>
  <si>
    <t>deserter_background</t>
  </si>
  <si>
    <t>Leather Tunic
Padded Surcoat
Gambeson</t>
  </si>
  <si>
    <t>Padded Surcoat
Gambeson
Padded Leather
Basic Mail Shirt
Mail Shirt
Mail Hauberk</t>
  </si>
  <si>
    <t>eunuch_background</t>
  </si>
  <si>
    <t>Linen Tunic
Leather Tunic</t>
  </si>
  <si>
    <t>eunuch_southern_background</t>
  </si>
  <si>
    <t>Cloth Sash
Padded Vest</t>
  </si>
  <si>
    <t>farmhand_background</t>
  </si>
  <si>
    <t>fisherman_background</t>
  </si>
  <si>
    <t>Sackcloth
Linen Tunic
Leather Tunic</t>
  </si>
  <si>
    <t>fisherman_southern_background</t>
  </si>
  <si>
    <t>flagellant_background</t>
  </si>
  <si>
    <t>Tattererd Sackcloth
Sackcloth
Leather Wraps
Monk Robe</t>
  </si>
  <si>
    <t>gambler_background</t>
  </si>
  <si>
    <t>gambler_southern_background</t>
  </si>
  <si>
    <t>gladiator_background</t>
  </si>
  <si>
    <t>Gladiator Harness
  Light Gladiator Upgrade
  Heavy Gladiator Upgrade</t>
  </si>
  <si>
    <t>gladiator_origin_background</t>
  </si>
  <si>
    <t>gravedigger_background</t>
  </si>
  <si>
    <t>Tattered Sackcloth
Sackcloth</t>
  </si>
  <si>
    <t>graverobber_background</t>
  </si>
  <si>
    <t>Leather Wraps
Leather Tunic
Ragged Surcoat</t>
  </si>
  <si>
    <t>Headscarf
Hood
Open Leather Cap
Ancient Household Helmet</t>
  </si>
  <si>
    <t>hedge_knight_background</t>
  </si>
  <si>
    <t>Worn Mail Shirt
Basic Mail Shirt
Mail Hauberk
Scale Armor
Reinforced Mail Hauberk</t>
  </si>
  <si>
    <t>Mail Coif
Nasal Helmet
Nasal Helmet with Mail
Bascinet with Mail
Closed Flat Top Helmet</t>
  </si>
  <si>
    <t>historian_background</t>
  </si>
  <si>
    <t>Linen Tunic</t>
  </si>
  <si>
    <t>historian_southern_background</t>
  </si>
  <si>
    <t>Cloth Sash</t>
  </si>
  <si>
    <t>houndmaster_background</t>
  </si>
  <si>
    <t>Ragged Surcoat</t>
  </si>
  <si>
    <t>hunter_background</t>
  </si>
  <si>
    <t>juggler_background</t>
  </si>
  <si>
    <t>juggler_southern_background</t>
  </si>
  <si>
    <t>killer_on_the_run_background</t>
  </si>
  <si>
    <t>Hood</t>
  </si>
  <si>
    <t>kings_guard_background</t>
  </si>
  <si>
    <t>lindwurm_slayer_background</t>
  </si>
  <si>
    <t>Headscarf
Feathered Hat
Duelist Hat
Mail Coif</t>
  </si>
  <si>
    <t>lumberjack_background</t>
  </si>
  <si>
    <t>Linen Tunic
Leather Tunic
Padded Surcoat</t>
  </si>
  <si>
    <t>manhunter_background</t>
  </si>
  <si>
    <t>Nomad Robe
Thick Nomad Robe</t>
  </si>
  <si>
    <t>mason_background</t>
  </si>
  <si>
    <t>messenger_background</t>
  </si>
  <si>
    <t>Hood
Straw Hat</t>
  </si>
  <si>
    <t>Linen Tunic
Leather Tunic
Padded Surcoat
Gambeson
Leather Lamellar</t>
  </si>
  <si>
    <t>miller_background</t>
  </si>
  <si>
    <t>miner_background</t>
  </si>
  <si>
    <t>Sackcloth</t>
  </si>
  <si>
    <t>minstrel_background</t>
  </si>
  <si>
    <t>60%
  Lute</t>
  </si>
  <si>
    <t>Feathered Hat</t>
  </si>
  <si>
    <t>monk_background</t>
  </si>
  <si>
    <t>Monk Robe</t>
  </si>
  <si>
    <t>monk_turned_flagellant_background</t>
  </si>
  <si>
    <t>nomad_background</t>
  </si>
  <si>
    <t>Nomad Robe
Thick Nomad Robe
Leather Nomad Robe
Stitched Nomad Armor</t>
  </si>
  <si>
    <t>old_gladiator_background</t>
  </si>
  <si>
    <t>old_paladin_background</t>
  </si>
  <si>
    <t>orc_slayer_background</t>
  </si>
  <si>
    <t>pacified_flagellant_background</t>
  </si>
  <si>
    <t>paladin_background</t>
  </si>
  <si>
    <t>peddler_background</t>
  </si>
  <si>
    <t>peddler_southern_background</t>
  </si>
  <si>
    <t>pimp_background</t>
  </si>
  <si>
    <t>Noble Tunic</t>
  </si>
  <si>
    <t>poacher_background</t>
  </si>
  <si>
    <t>Leather Tunic
Leather Wraps
Ragged Surcoat</t>
  </si>
  <si>
    <t>Padded Leather
Patched Mail Shirt
Leather Lamellar
Worn Mail Shirt</t>
  </si>
  <si>
    <t>ratcatcher_background</t>
  </si>
  <si>
    <t>refugee_background</t>
  </si>
  <si>
    <t>regent_in_absentia_background</t>
  </si>
  <si>
    <t>Padded Leather
Patched Mail Shirt
Worn Mail Shirt
Basic Mail Shirt</t>
  </si>
  <si>
    <t>Padded Leather
Patched Mail Shirt
Leather Lamellar
Worn Mail Shirt
Basic Mail Shirt
Mail Shirt</t>
  </si>
  <si>
    <t>servant_background</t>
  </si>
  <si>
    <t>servant_southern_background</t>
  </si>
  <si>
    <t>shepherd_background</t>
  </si>
  <si>
    <t>66%
  Staffsling</t>
  </si>
  <si>
    <t>Straw Hat</t>
  </si>
  <si>
    <t>shepherd_southern_background</t>
  </si>
  <si>
    <t>66%
  Nomad Sling</t>
  </si>
  <si>
    <t>slave_background</t>
  </si>
  <si>
    <t>slave_barbarian_background</t>
  </si>
  <si>
    <t>slave_southern_background</t>
  </si>
  <si>
    <t>squire_background</t>
  </si>
  <si>
    <t>Leather Tunic
Padded Surcoat
Gambeson
Padded Leather</t>
  </si>
  <si>
    <t>Linen Tunic
Leather Tunic
Padded Surcoat
Padded Leather</t>
  </si>
  <si>
    <t>33%
  Duelist Hat</t>
  </si>
  <si>
    <t>tailor_background</t>
  </si>
  <si>
    <t>tailor_southern_background</t>
  </si>
  <si>
    <t>1 Linen Tunic
2 Cloth Sash</t>
  </si>
  <si>
    <t>thief_background</t>
  </si>
  <si>
    <t>thief_southern_background</t>
  </si>
  <si>
    <t>Sackcloth
Cloth Sash
Nomad Robe</t>
  </si>
  <si>
    <t>Nomad Head Wrap</t>
  </si>
  <si>
    <t>Sackcloth
Leather wraps
Leather Tunic</t>
  </si>
  <si>
    <t>wildman_background</t>
  </si>
  <si>
    <t>witchhunter_background</t>
  </si>
  <si>
    <t>Witchhunter Hat</t>
  </si>
  <si>
    <t>Entity</t>
  </si>
  <si>
    <t>Attributes</t>
  </si>
  <si>
    <t>Perks</t>
  </si>
  <si>
    <t>Skills</t>
  </si>
  <si>
    <t>Ancient Dead</t>
  </si>
  <si>
    <t>The Ancient Dead legions are formation fighters that utilize buffs from their leaders to outlast and overpower their enemies. Strong Honor Guard defend Ancient Priests that harry their opponents with damaging miasma. Morale is used as a weapon due to skeleton's inherent fearsomeness, as well as the Ancient Priest's ability to horrify the living. Necrosavants are a tough opponent that teleport across the battlefield and steal the life of their enemies.</t>
  </si>
  <si>
    <t>skeleton</t>
  </si>
  <si>
    <t>skeleton_racial
Battleforged
Steel Brow
Fearsome</t>
  </si>
  <si>
    <t>skeleton_racial</t>
  </si>
  <si>
    <t>skeleton_light (vanilla ancient auxiliary)</t>
  </si>
  <si>
    <t>Ancient Ripped Cloth</t>
  </si>
  <si>
    <t>Ancient Household Helmet</t>
  </si>
  <si>
    <t>skeleton
Exploit Opening
Rotation
Weapon T3</t>
  </si>
  <si>
    <t xml:space="preserve">
</t>
  </si>
  <si>
    <t>rf_skeleton_light_elite</t>
  </si>
  <si>
    <t>Ancient Mail 100
Ancient Double Layer Mail 135</t>
  </si>
  <si>
    <t>Ancient Household Helmet 95</t>
  </si>
  <si>
    <t>Broken Bladed Pike
Ancient Bladed Pike</t>
  </si>
  <si>
    <t>Ancient Miles</t>
  </si>
  <si>
    <t>rf_skeleton_decanus</t>
  </si>
  <si>
    <t>Ancient Scale Harness 155
3 Ancient Breastplate 175</t>
  </si>
  <si>
    <t>Ancient Legionary Helmet 130</t>
  </si>
  <si>
    <t>Decanus Command: Allied skeletons with a shield gain +1 reach if they are adjacent to an ally holding a Shield and may use shieldwall for 0 AP.</t>
  </si>
  <si>
    <t>skeleton_medium (vanilla ancient legionary)</t>
  </si>
  <si>
    <t>Ancient Scale Harness 155
Ancient Breastplate 175</t>
  </si>
  <si>
    <t>3 Ancient Bladed Pike
Warscythe</t>
  </si>
  <si>
    <t>Ancient Legionary</t>
  </si>
  <si>
    <t>rf_skeleton_centurion</t>
  </si>
  <si>
    <t>Rhomphaia</t>
  </si>
  <si>
    <t>2 Ancient Plated Mail Hauberk 200
3 Ancient Scale Coat 220</t>
  </si>
  <si>
    <t>Ancient Legionary Helmet</t>
  </si>
  <si>
    <t>skeleton
Combo
Crippling Strikes
Duelist
Rotation
T4 Weapon
Centurion Command</t>
  </si>
  <si>
    <t>Centurion Command: Allied skeletons gain +30 Initaitive</t>
  </si>
  <si>
    <t>rf_skeleton_medium_elite</t>
  </si>
  <si>
    <t>Ancient Plated Mail Hauberk 200
Ancient Scale Coat 220</t>
  </si>
  <si>
    <t>Ancient Bladed Pike
Warscythe</t>
  </si>
  <si>
    <t>Ancient Palatinus</t>
  </si>
  <si>
    <t>rf_skeleton_heavy_lesser</t>
  </si>
  <si>
    <t>Ancient Praetorian
Ancient Plate Harness 235
Ancient Plated Scale Hauberk 250</t>
  </si>
  <si>
    <t>Ancient Honorguard Helmet 180</t>
  </si>
  <si>
    <t>skeleton
Calculated Strikes
Rotation
T7 Weapon
If Shield: Exploit Opening
IF AOE: Death Dealer
If 2h: Formidable Approach</t>
  </si>
  <si>
    <t>rf_skeleton_heavy_lesser_bodyguard</t>
  </si>
  <si>
    <t xml:space="preserve">Ancient Praetorian
</t>
  </si>
  <si>
    <t>rf_skeleton_legate</t>
  </si>
  <si>
    <t>Named Ancient Bladed Pike
Named Warscythe</t>
  </si>
  <si>
    <t>Ancient Legate
Ancient Plate Harness
Ancient Plated Scale Hauberk</t>
  </si>
  <si>
    <t>Legate Command: Allied Skeletons gain +30 resolve, deal 20% more damage and receive 20% less damage.</t>
  </si>
  <si>
    <t>vampire</t>
  </si>
  <si>
    <t>Khopesh</t>
  </si>
  <si>
    <t>Night Immune
Injury Immune
Poison Immune
vampire_racial (Life Steal 1.0x)
Nine Lives
Headhunter
Sanguinary
T7 Weapon</t>
  </si>
  <si>
    <t xml:space="preserve">Darkflight
</t>
  </si>
  <si>
    <t>skeleton_priest (ancient priest)</t>
  </si>
  <si>
    <t>Horror
Miasma</t>
  </si>
  <si>
    <t>rf_necrosavant_lord</t>
  </si>
  <si>
    <t>Necrosavant Lord Armor 40</t>
  </si>
  <si>
    <t>Necrosavant Lord Helmet 80</t>
  </si>
  <si>
    <t>Horror
Miasma
Lightning Storm
Summon Mirror Image
Summon Flying Skulls
Geomancy
Geomancy Once
Raise All Undead</t>
  </si>
  <si>
    <t>skeleton_lich_mirror_image</t>
  </si>
  <si>
    <t>Ghastly Touch
Wither
Raise Undead
Lightning Storm</t>
  </si>
  <si>
    <t>Flying Skull</t>
  </si>
  <si>
    <t>Unaffected by Reach</t>
  </si>
  <si>
    <t>phylactery</t>
  </si>
  <si>
    <t>rf_skeleton_heavy</t>
  </si>
  <si>
    <t>Ancient Plate Harness
Ancient Plated Scale Hauberk</t>
  </si>
  <si>
    <t>Ancient Honorguard Helmet</t>
  </si>
  <si>
    <t>skeleton_heavy_bodyguard</t>
  </si>
  <si>
    <t>Ancient Honor Guard</t>
  </si>
  <si>
    <t>skeleton_boss (the conquerer)</t>
  </si>
  <si>
    <t>Emperors Armor Fake</t>
  </si>
  <si>
    <t>Ancient Laurels</t>
  </si>
  <si>
    <t>Bandits</t>
  </si>
  <si>
    <t>Animals</t>
  </si>
  <si>
    <t>wardog</t>
  </si>
  <si>
    <t>BeastMedium - 1
0.1 Target Attraction Mult
Not Affected by Injuries
Pathfinder
Steel Brow
Wardog Bite</t>
  </si>
  <si>
    <t>armored_wardog</t>
  </si>
  <si>
    <t>Wardog Armor</t>
  </si>
  <si>
    <t>warhound</t>
  </si>
  <si>
    <t>BeastMedium - 1
0.1 Target Attraction Mult
Not Affected by Injuries
Pathfinder
Steel Brow
Warhound Bite</t>
  </si>
  <si>
    <t>armored_warhound</t>
  </si>
  <si>
    <t>warwolf</t>
  </si>
  <si>
    <t>Beast Medium -1
0.1 Target Attraction Mult
Not Affected by Injuries
Pathfinder
Steel Brow
Wolf Bite</t>
  </si>
  <si>
    <t>bandit_scoundrel</t>
  </si>
  <si>
    <r>
      <rPr>
        <sz val="11"/>
        <color theme="1"/>
        <rFont val="Calibri"/>
        <family val="2"/>
      </rPr>
      <t>Tattered Sackcloth
Leather Tunic
Padded Surcoat
Gambeson
Monk's Robe</t>
    </r>
  </si>
  <si>
    <t>None 50%
Mouthpiece
Hood
Aketon Cap</t>
  </si>
  <si>
    <t>Bully</t>
  </si>
  <si>
    <t>bandit_thug</t>
  </si>
  <si>
    <t>Sackcloth
Leather Wraps
Apron
Butcher's Apron 0.5
Thick Tunic</t>
  </si>
  <si>
    <t>None 70%
Headscarf
Straw Hat
Open Leather Cap</t>
  </si>
  <si>
    <t>Bully
Survival Instinct</t>
  </si>
  <si>
    <t>bandit_poacher</t>
  </si>
  <si>
    <t>Brigand Poacher
Tier 1
Ranged
Weight .33</t>
  </si>
  <si>
    <r>
      <rPr>
        <sz val="11"/>
        <color theme="1"/>
        <rFont val="Calibri"/>
        <family val="2"/>
      </rPr>
      <t>Sackcloth</t>
    </r>
    <r>
      <rPr>
        <sz val="11"/>
        <color rgb="FF0000FF"/>
        <rFont val="Calibri"/>
        <family val="2"/>
      </rPr>
      <t xml:space="preserve">
</t>
    </r>
    <r>
      <rPr>
        <sz val="11"/>
        <color theme="1"/>
        <rFont val="Calibri"/>
        <family val="2"/>
      </rPr>
      <t>Leather Wraps
Thick Tunic</t>
    </r>
  </si>
  <si>
    <t xml:space="preserve">None 50%
Mouth Piece 
Headscarf </t>
  </si>
  <si>
    <t>bandit_vandal</t>
  </si>
  <si>
    <t>Gambeson
Padded Leather
Leather Lamellar Armor</t>
  </si>
  <si>
    <t>None 20%
Aketon Cap
Full Aketon Cap
Scale Helmet</t>
  </si>
  <si>
    <t>Bully
Quick Hands
Rotation
T3 Weapon</t>
  </si>
  <si>
    <t>bandit_pillager</t>
  </si>
  <si>
    <t>Thick Tunic
Rugged Surcoat</t>
  </si>
  <si>
    <r>
      <rPr>
        <sz val="11"/>
        <color rgb="FF000000"/>
        <rFont val="Calibri"/>
        <family val="2"/>
      </rPr>
      <t xml:space="preserve">None 20%
Straw Hat
Open Leather Cap
</t>
    </r>
    <r>
      <rPr>
        <sz val="11"/>
        <color rgb="FF000000"/>
        <rFont val="Calibri"/>
        <family val="2"/>
      </rPr>
      <t>Full Leather Cap</t>
    </r>
  </si>
  <si>
    <t>Bully
Survival Instinct
T3 Weapon</t>
  </si>
  <si>
    <t>bandit_robber</t>
  </si>
  <si>
    <t>None 20%
Hood
Aketon Cap 
Full Aketon Cap</t>
  </si>
  <si>
    <t>bandit_hunter</t>
  </si>
  <si>
    <t>Brigand Hunter
Tier 2
Basic Ranged
Weight .33</t>
  </si>
  <si>
    <t>Thick Tunic
Padded Surcoat
Rugged Surcoat</t>
  </si>
  <si>
    <t>None 25%
Mouthpiece
Headscarf
Hood
Open Leather Cap
Aketon Cap
Straw Hat 0.5
Hunter's Hat 0.2</t>
  </si>
  <si>
    <t>Target Attraction Mult 1.1
Bully
T4 Weapon</t>
  </si>
  <si>
    <t>bandit_raider_wolf</t>
  </si>
  <si>
    <t>bandit_raider</t>
  </si>
  <si>
    <t>Worn Mail Shirt
Basic Mail Shirt
Mail Shirt
Leather Scale Armor 0.5</t>
  </si>
  <si>
    <r>
      <rPr>
        <sz val="11"/>
        <color theme="1"/>
        <rFont val="Calibri"/>
        <family val="2"/>
      </rPr>
      <t>Nasal Helmet
Padded Dented Nasal Helmet
Padded Scale Helmet
Kettle Hat
Skull Cap 0.5
Flat Top Helmet 
Padded Nasal Helmet 0.5
Padded Kettle Hat 0.5</t>
    </r>
    <r>
      <rPr>
        <sz val="11"/>
        <color rgb="FF0000FF"/>
        <rFont val="Calibri"/>
        <family val="2"/>
      </rPr>
      <t xml:space="preserve">
</t>
    </r>
    <r>
      <rPr>
        <sz val="11"/>
        <color theme="1"/>
        <rFont val="Calibri"/>
        <family val="2"/>
      </rPr>
      <t>Nasal Helmet with Rusty Mail</t>
    </r>
  </si>
  <si>
    <t>Bully
Quick Hands
Rotation
T4 Weapon
If Shield: Shield Expert</t>
  </si>
  <si>
    <t>bandit_outlaw</t>
  </si>
  <si>
    <r>
      <rPr>
        <sz val="11"/>
        <color rgb="FF000000"/>
        <rFont val="Calibri"/>
        <family val="2"/>
      </rPr>
      <t>Rugged Surcoat</t>
    </r>
    <r>
      <rPr>
        <sz val="11"/>
        <color rgb="FF000000"/>
        <rFont val="Calibri"/>
        <family val="2"/>
      </rPr>
      <t xml:space="preserve">
Blotched Gambeson
Patched Mail Shirt
</t>
    </r>
    <r>
      <rPr>
        <sz val="11"/>
        <color rgb="FF000000"/>
        <rFont val="Calibri"/>
        <family val="2"/>
      </rPr>
      <t>Leather Lamellar</t>
    </r>
  </si>
  <si>
    <t>Open Leather Cap
Full Leather Cap
Rusty Mail Coif</t>
  </si>
  <si>
    <t>bandit_bandit</t>
  </si>
  <si>
    <t>Padded Leather
Leather Lamellar Armor</t>
  </si>
  <si>
    <r>
      <rPr>
        <sz val="11"/>
        <color theme="1"/>
        <rFont val="Calibri"/>
        <family val="2"/>
      </rPr>
      <t>Aketon Cap
Full Aketon Cap
Mail Coif 0.5</t>
    </r>
    <r>
      <rPr>
        <strike/>
        <sz val="11"/>
        <color theme="1"/>
        <rFont val="Calibri"/>
        <family val="2"/>
      </rPr>
      <t xml:space="preserve">
</t>
    </r>
    <r>
      <rPr>
        <sz val="11"/>
        <color theme="1"/>
        <rFont val="Calibri"/>
        <family val="2"/>
      </rPr>
      <t>Closed Mail Coif 0.5</t>
    </r>
  </si>
  <si>
    <t>bandit_marksman</t>
  </si>
  <si>
    <t>Padded Surcoat
Rugged Surcoat
Blotched Gambeson</t>
  </si>
  <si>
    <t>Open Leather Cap
Aketon Cap
Full Leather Cap
Full Aketon Cap
Rusty Mail Coif</t>
  </si>
  <si>
    <t>Target Attraction Mult 1.1
Bullseye
Bully
Pathfinder
T4 Weapon</t>
  </si>
  <si>
    <t>bandit_leader</t>
  </si>
  <si>
    <t xml:space="preserve">Reinforced Mail Hauberk
Lamellar Harness
Scale Armor
</t>
  </si>
  <si>
    <t>Closed and Padded Flat Top
Nasal Helmet with Mail
Bascinet with Mail
Kettle Hat with Mail
Flat Top with Mail</t>
  </si>
  <si>
    <t>bandit_highwayman</t>
  </si>
  <si>
    <t>Mail Hauberk
Light Scale Armor 0.5
Footman Armor</t>
  </si>
  <si>
    <t>Padded Nasal Helmet 0.5
Padded Skull Cap 0.5
Padded Kettle Hat 0.5
Nasal Helmet with Rusty Mail
Padded Flat Top Helmet
Closed Flat Top Helmet 
Closed and Padded Flat Top Helmet 0.5</t>
  </si>
  <si>
    <t>bandit_marauder</t>
  </si>
  <si>
    <t>Blotched Gambeson
Patched Mail Shirt
Leather Lamellar
Worn Mail Shirt 0.5</t>
  </si>
  <si>
    <t>Rusty Mail Coif
Mail Coif
Closed Mail Coif</t>
  </si>
  <si>
    <t>bandit_killer</t>
  </si>
  <si>
    <r>
      <rPr>
        <sz val="11"/>
        <color theme="1"/>
        <rFont val="Calibri"/>
        <family val="2"/>
      </rPr>
      <t>Worn Mail Shirt</t>
    </r>
    <r>
      <rPr>
        <sz val="11"/>
        <color rgb="FF0000FF"/>
        <rFont val="Calibri"/>
        <family val="2"/>
      </rPr>
      <t xml:space="preserve">
</t>
    </r>
    <r>
      <rPr>
        <sz val="11"/>
        <color theme="1"/>
        <rFont val="Calibri"/>
        <family val="2"/>
      </rPr>
      <t>Basic Mail Shirt
Leather Scale Armor</t>
    </r>
  </si>
  <si>
    <t>Reinforced Mail Coif
Kettle Hat
Skull Cap 0.5
Nordic Helmet 0.5</t>
  </si>
  <si>
    <t>bandit_sharpshooter</t>
  </si>
  <si>
    <t>Brigand Sharpshooter
Tier 4
Basic Ranged
Weight .33</t>
  </si>
  <si>
    <t>Blotched Gambeson
Padded Leather</t>
  </si>
  <si>
    <t>Full Leather Cap
Full Aketon Cap
Rusty Mail Coif
Mail Coif</t>
  </si>
  <si>
    <t>bandit_baron</t>
  </si>
  <si>
    <t>Robber Baron
Tier 4+
Leader
A menace on the battlefield
Weight 1.0</t>
  </si>
  <si>
    <t xml:space="preserve">Closed Bascinet with Mail
Nordic Helmet with Closed Mail
Conic Helmet with Closed Mail
Conic Helmet with Faceguard
</t>
  </si>
  <si>
    <t>Barbarians</t>
  </si>
  <si>
    <t>barbarian_thrall</t>
  </si>
  <si>
    <t>Armor 60%
Thick Furs Armor
Animal Hide Armor</t>
  </si>
  <si>
    <t>Helmet 50%
Leather Headband
Bear Headpiece</t>
  </si>
  <si>
    <r>
      <rPr>
        <sz val="11"/>
        <color rgb="FF000000"/>
        <rFont val="Calibri"/>
        <family val="2"/>
      </rPr>
      <t xml:space="preserve">Adrenaline
</t>
    </r>
    <r>
      <rPr>
        <strike/>
        <sz val="11"/>
        <color rgb="FF000000"/>
        <rFont val="Calibri"/>
        <family val="2"/>
      </rPr>
      <t>Anticipation</t>
    </r>
    <r>
      <rPr>
        <sz val="11"/>
        <color rgb="FF000000"/>
        <rFont val="Calibri"/>
        <family val="2"/>
      </rPr>
      <t xml:space="preserve">
</t>
    </r>
    <r>
      <rPr>
        <strike/>
        <sz val="11"/>
        <color rgb="FF000000"/>
        <rFont val="Calibri"/>
        <family val="2"/>
      </rPr>
      <t>Resilient</t>
    </r>
    <r>
      <rPr>
        <sz val="11"/>
        <color rgb="FF000000"/>
        <rFont val="Calibri"/>
        <family val="2"/>
      </rPr>
      <t xml:space="preserve">
</t>
    </r>
    <r>
      <rPr>
        <strike/>
        <sz val="11"/>
        <color rgb="FF000000"/>
        <rFont val="Calibri"/>
        <family val="2"/>
      </rPr>
      <t>Recover</t>
    </r>
    <r>
      <rPr>
        <sz val="11"/>
        <color rgb="FF000000"/>
        <rFont val="Calibri"/>
        <family val="2"/>
      </rPr>
      <t xml:space="preserve">
Quick Hands
Pathfinder
Relentless </t>
    </r>
    <r>
      <rPr>
        <strike/>
        <sz val="11"/>
        <color rgb="FF000000"/>
        <rFont val="Calibri"/>
        <family val="2"/>
      </rPr>
      <t xml:space="preserve">(Day 20+)
</t>
    </r>
    <r>
      <rPr>
        <sz val="11"/>
        <color rgb="FF0000FF"/>
        <rFont val="Calibri"/>
        <family val="2"/>
      </rPr>
      <t xml:space="preserve">Survival Instinct
</t>
    </r>
    <r>
      <rPr>
        <sz val="11"/>
        <color rgb="FF000000"/>
        <rFont val="Calibri"/>
        <family val="2"/>
      </rPr>
      <t xml:space="preserve">
</t>
    </r>
    <r>
      <rPr>
        <sz val="11"/>
        <color rgb="FF0000FF"/>
        <rFont val="Calibri"/>
        <family val="2"/>
      </rPr>
      <t>Weapon T3</t>
    </r>
  </si>
  <si>
    <t>Barbarian Fury</t>
  </si>
  <si>
    <t>barbarian_marauder</t>
  </si>
  <si>
    <t>Reinforced Animal Hide Armor
Scrap Metal Armor
Hide and Bone Armor</t>
  </si>
  <si>
    <t>None
Leather Headband
Bear Headpiece
Leather Helmet
Crude Metal Helmet</t>
  </si>
  <si>
    <t>barbarian_drummer</t>
  </si>
  <si>
    <t>Barbarian Drummer
Tier 2
Support</t>
  </si>
  <si>
    <t>Thick Furs
Animal Hide Armor
Reinforced Animal Hide Armor</t>
  </si>
  <si>
    <t>Leather Headband
Bear Headpiece</t>
  </si>
  <si>
    <t>barbarian_champion (Barbarian Chosen)</t>
  </si>
  <si>
    <t>Rugged Scale Armor w/ Barbarian Horn Upgrade
Heavy Iron Armor w/ Barbarian Horn Upgrade
Thick Plated Barbarian Armor w/ Barbarian Horn Upgrade</t>
  </si>
  <si>
    <t>Crude Faceguard Helmet
Closed Scrap Metal Helmet
Crude Metal Helmet</t>
  </si>
  <si>
    <t>unhold_armored</t>
  </si>
  <si>
    <t>Armored Unhold
Tier 4</t>
  </si>
  <si>
    <t>unhold</t>
  </si>
  <si>
    <t>barbarian_beastmaster</t>
  </si>
  <si>
    <t>Thorned Whip</t>
  </si>
  <si>
    <t>Hide and Bone Armor</t>
  </si>
  <si>
    <t>Beastmasters Headpiece</t>
  </si>
  <si>
    <r>
      <rPr>
        <sz val="11"/>
        <color theme="1"/>
        <rFont val="Calibri"/>
        <family val="2"/>
      </rPr>
      <t xml:space="preserve">1.1 Target Attraction Mult
</t>
    </r>
    <r>
      <rPr>
        <strike/>
        <sz val="11"/>
        <color theme="1"/>
        <rFont val="Calibri"/>
        <family val="2"/>
      </rPr>
      <t>Anticipation</t>
    </r>
    <r>
      <rPr>
        <sz val="11"/>
        <color theme="1"/>
        <rFont val="Calibri"/>
        <family val="2"/>
      </rPr>
      <t xml:space="preserve">
Resilient
</t>
    </r>
    <r>
      <rPr>
        <strike/>
        <sz val="11"/>
        <color theme="1"/>
        <rFont val="Calibri"/>
        <family val="2"/>
      </rPr>
      <t>Recover</t>
    </r>
    <r>
      <rPr>
        <sz val="11"/>
        <color theme="1"/>
        <rFont val="Calibri"/>
        <family val="2"/>
      </rPr>
      <t xml:space="preserve">
Brawny
Pathfinder
Dodge </t>
    </r>
    <r>
      <rPr>
        <strike/>
        <sz val="11"/>
        <color theme="1"/>
        <rFont val="Calibri"/>
        <family val="2"/>
      </rPr>
      <t>(Day 30+)</t>
    </r>
  </si>
  <si>
    <t>Barbarian Fury
Crack the Whip</t>
  </si>
  <si>
    <t>unhold_frost_armored</t>
  </si>
  <si>
    <t>Armored Frost Unhold
Tier 5</t>
  </si>
  <si>
    <t>unhold_frost</t>
  </si>
  <si>
    <t>barbarian_chosen (Barbarian King)</t>
  </si>
  <si>
    <t>Thick Plated Barbarian Armor w/ Barbarian Horn upgrade</t>
  </si>
  <si>
    <t>Heavy Horned Plate Helmet</t>
  </si>
  <si>
    <t>barbarian_madman</t>
  </si>
  <si>
    <t>Named Rusty Warblade</t>
  </si>
  <si>
    <t>Barbarian Ritual Armor</t>
  </si>
  <si>
    <t>Barbarian Ritual Helmet</t>
  </si>
  <si>
    <t>Beasts Single</t>
  </si>
  <si>
    <t>hexe</t>
  </si>
  <si>
    <t>Charm
Hex
Fake Drink Night Vision</t>
  </si>
  <si>
    <t>kraken</t>
  </si>
  <si>
    <r>
      <rPr>
        <sz val="11"/>
        <color rgb="FF000000"/>
        <rFont val="Calibri"/>
        <family val="2"/>
      </rPr>
      <t>Not Affected by Reach
3.0 Target Attraction Mult
Poison Immune
Knockback and Grab Immune
Stun Immune
Is Not Movable
Is Rooted
Fire Immune
Night Immune
Injury Immune
Resilient
Steel Brow</t>
    </r>
  </si>
  <si>
    <t>Kraken Devour</t>
  </si>
  <si>
    <t>kraken_tentacle</t>
  </si>
  <si>
    <r>
      <rPr>
        <sz val="11"/>
        <color rgb="FF0000FF"/>
        <rFont val="Calibri"/>
        <family val="2"/>
      </rPr>
      <t xml:space="preserve">BeastLarge
</t>
    </r>
    <r>
      <rPr>
        <sz val="11"/>
        <color rgb="FF000000"/>
        <rFont val="Calibri"/>
        <family val="2"/>
      </rPr>
      <t xml:space="preserve">Poison Immune
Knockback and Grab Immune
Is Not Movable
Night Immune
Injury Immune
Resilient
Fearsome
Steel Brow
Underdog
</t>
    </r>
    <r>
      <rPr>
        <sz val="11"/>
        <color rgb="FF0000FF"/>
        <rFont val="Calibri"/>
        <family val="2"/>
      </rPr>
      <t>Crippling Strikes</t>
    </r>
  </si>
  <si>
    <t>Kraken Move
Kraken Bite
Ensnare</t>
  </si>
  <si>
    <t>lindwurm</t>
  </si>
  <si>
    <r>
      <rPr>
        <sz val="11"/>
        <color rgb="FF0000FF"/>
        <rFont val="Calibri"/>
        <family val="2"/>
      </rPr>
      <t xml:space="preserve">BeastHuge + 2
</t>
    </r>
    <r>
      <rPr>
        <sz val="11"/>
        <color rgb="FF000000"/>
        <rFont val="Calibri"/>
        <family val="2"/>
      </rPr>
      <t xml:space="preserve">Knockback and Grab Immune
Stun Immune
Is Not Movable
Root Immune
Night Immune
</t>
    </r>
    <r>
      <rPr>
        <strike/>
        <sz val="11"/>
        <color rgb="FF000000"/>
        <rFont val="Calibri"/>
        <family val="2"/>
      </rPr>
      <t>+10 MeleeSkill (Day 170+)
+0.1 Total Damage Mult (Day 170+)</t>
    </r>
    <r>
      <rPr>
        <sz val="11"/>
        <color rgb="FF000000"/>
        <rFont val="Calibri"/>
        <family val="2"/>
      </rPr>
      <t xml:space="preserve">
Pathfinder
Resilient
</t>
    </r>
    <r>
      <rPr>
        <strike/>
        <sz val="11"/>
        <color rgb="FF000000"/>
        <rFont val="Calibri"/>
        <family val="2"/>
      </rPr>
      <t>Reach Advantage</t>
    </r>
    <r>
      <rPr>
        <sz val="11"/>
        <color rgb="FF000000"/>
        <rFont val="Calibri"/>
        <family val="2"/>
      </rPr>
      <t xml:space="preserve">
Fearsome
</t>
    </r>
    <r>
      <rPr>
        <strike/>
        <sz val="11"/>
        <color rgb="FF000000"/>
        <rFont val="Calibri"/>
        <family val="2"/>
      </rPr>
      <t>Underdog</t>
    </r>
    <r>
      <rPr>
        <sz val="11"/>
        <color rgb="FF0000FF"/>
        <rFont val="Calibri"/>
        <family val="2"/>
      </rPr>
      <t xml:space="preserve">
Survival Instinct
Menacing</t>
    </r>
  </si>
  <si>
    <t>lindwurm_racial (Acid Blood)
Gorge</t>
  </si>
  <si>
    <t>lindwurm_tail</t>
  </si>
  <si>
    <r>
      <rPr>
        <sz val="11"/>
        <color rgb="FF0000FF"/>
        <rFont val="Calibri"/>
        <family val="2"/>
      </rPr>
      <t xml:space="preserve">BeastHuge
</t>
    </r>
    <r>
      <rPr>
        <sz val="11"/>
        <color rgb="FF000000"/>
        <rFont val="Calibri"/>
        <family val="2"/>
      </rPr>
      <t xml:space="preserve">Knockback and Grab Immune
Stun Immune
Is Not Movable
Root Immune
Night Immune
</t>
    </r>
    <r>
      <rPr>
        <strike/>
        <sz val="11"/>
        <color rgb="FF000000"/>
        <rFont val="Calibri"/>
        <family val="2"/>
      </rPr>
      <t>+10 MeleeSkill (Day 180+)
+0.1 Damage Total Mult (Day 180)</t>
    </r>
    <r>
      <rPr>
        <sz val="11"/>
        <color rgb="FF000000"/>
        <rFont val="Calibri"/>
        <family val="2"/>
      </rPr>
      <t xml:space="preserve">
Resilient
</t>
    </r>
    <r>
      <rPr>
        <strike/>
        <sz val="11"/>
        <color rgb="FF000000"/>
        <rFont val="Calibri"/>
        <family val="2"/>
      </rPr>
      <t>Reach Advantage</t>
    </r>
    <r>
      <rPr>
        <sz val="11"/>
        <color rgb="FF000000"/>
        <rFont val="Calibri"/>
        <family val="2"/>
      </rPr>
      <t xml:space="preserve">
Fearsome
</t>
    </r>
    <r>
      <rPr>
        <sz val="11"/>
        <color rgb="FF0000FF"/>
        <rFont val="Calibri"/>
        <family val="2"/>
      </rPr>
      <t>Sweeping Strikes</t>
    </r>
  </si>
  <si>
    <t>lindwurm_racial (Acid Blood)
Tail Slam
Tail Slam Big
Tail Slam Split
Tail Slam ZoC</t>
  </si>
  <si>
    <t>sand_golem</t>
  </si>
  <si>
    <t>Merge Golem
Throw Golem
Headbutt</t>
  </si>
  <si>
    <t>sand_golem_medium</t>
  </si>
  <si>
    <t>BeastMedium +1</t>
  </si>
  <si>
    <t>sand_golem_high</t>
  </si>
  <si>
    <t>golem_racial</t>
  </si>
  <si>
    <t>DamageReceivedTotalMult = 0.0;
Aimed Shot, Quick Shot, Ignite Firelance DamageReceivedRegularMult *= 0.1;
Shoot Bolt, Shoot Stake, Sling Stone DamageReceivedRegularMult *= 0.33;
Throw Javelin, Fire Handgonne DamageReceivedRegularMult *= 0.25;
Puncture, Thrust, Stab, Deathblow, Impale, Rupture, Prong, Lunge DamageReceivedRegularMult *= 0.5;</t>
  </si>
  <si>
    <t>schrat</t>
  </si>
  <si>
    <r>
      <rPr>
        <sz val="11"/>
        <color rgb="FF0000FF"/>
        <rFont val="Calibri"/>
        <family val="2"/>
      </rPr>
      <t>BeastLarge + 1
Sapling Harvest</t>
    </r>
    <r>
      <rPr>
        <sz val="11"/>
        <color rgb="FF000000"/>
        <rFont val="Calibri"/>
        <family val="2"/>
      </rPr>
      <t xml:space="preserve">
Bleed Immune
Poison Immune
Knockback and Grab Immune
Stun Immune
Root Immune
Attacks Ignore Armor
Night Immune
Injury Immune
</t>
    </r>
    <r>
      <rPr>
        <strike/>
        <sz val="11"/>
        <color rgb="FF000000"/>
        <rFont val="Calibri"/>
        <family val="2"/>
      </rPr>
      <t>+5 MeleeSkill (Day 250)</t>
    </r>
    <r>
      <rPr>
        <sz val="11"/>
        <color rgb="FF000000"/>
        <rFont val="Calibri"/>
        <family val="2"/>
      </rPr>
      <t xml:space="preserve">
schrat_racial
Pathfinder
Crippling Strikes
Steel Brow
Resilient
</t>
    </r>
    <r>
      <rPr>
        <sz val="11"/>
        <color rgb="FF0000FF"/>
        <rFont val="Calibri"/>
        <family val="2"/>
      </rPr>
      <t>Dent Armor</t>
    </r>
  </si>
  <si>
    <r>
      <rPr>
        <sz val="11"/>
        <color rgb="FF0000FF"/>
        <rFont val="Calibri"/>
        <family val="2"/>
      </rPr>
      <t xml:space="preserve">Uproot now applies rooted on hit
</t>
    </r>
    <r>
      <rPr>
        <sz val="11"/>
        <color rgb="FF0000FF"/>
        <rFont val="Calibri"/>
        <family val="2"/>
      </rPr>
      <t>Grow Shield
Uproot
Uproot ZoC</t>
    </r>
  </si>
  <si>
    <t>schrat_racial</t>
  </si>
  <si>
    <t>schrat_small</t>
  </si>
  <si>
    <r>
      <rPr>
        <sz val="11"/>
        <color rgb="FF0000FF"/>
        <rFont val="Calibri"/>
        <family val="2"/>
      </rPr>
      <t xml:space="preserve">BeastSmall
</t>
    </r>
    <r>
      <rPr>
        <sz val="11"/>
        <color rgb="FF000000"/>
        <rFont val="Calibri"/>
        <family val="2"/>
      </rPr>
      <t>Bleed Immune
Poison Immune
Knockback and Grab Immune
Stun Immune
Root Immune
Attacks Ignore Armor
Night Immune
Injury Immune
Pathfinder
Crippling Strikes
Steel Brow</t>
    </r>
  </si>
  <si>
    <r>
      <rPr>
        <strike/>
        <sz val="11"/>
        <color theme="1"/>
        <rFont val="Calibri"/>
        <family val="2"/>
      </rPr>
      <t>Uproot Small</t>
    </r>
    <r>
      <rPr>
        <sz val="11"/>
        <color theme="1"/>
        <rFont val="Calibri"/>
        <family val="2"/>
      </rPr>
      <t xml:space="preserve">
Uproot Small ZoC
</t>
    </r>
    <r>
      <rPr>
        <sz val="11"/>
        <color rgb="FF0000FF"/>
        <rFont val="Calibri"/>
        <family val="2"/>
      </rPr>
      <t>Root (sacrifice) (target enemy is rooted, schratling dies)</t>
    </r>
  </si>
  <si>
    <t>trickster_god</t>
  </si>
  <si>
    <r>
      <rPr>
        <sz val="11"/>
        <color rgb="FF0000FF"/>
        <rFont val="Calibri"/>
        <family val="2"/>
      </rPr>
      <t xml:space="preserve">BeastHuge
</t>
    </r>
    <r>
      <rPr>
        <sz val="11"/>
        <color rgb="FF000000"/>
        <rFont val="Calibri"/>
        <family val="2"/>
      </rPr>
      <t xml:space="preserve">Crippling Strikes
Steel Brow
Stalwart
Resilient
trickster_god_racial (0.06 Max Health Regen)
</t>
    </r>
    <r>
      <rPr>
        <sz val="11"/>
        <color rgb="FF0000FF"/>
        <rFont val="Calibri"/>
        <family val="2"/>
      </rPr>
      <t>Dent Armor
Return Favor(Permanent)</t>
    </r>
  </si>
  <si>
    <t>Teleport
Gore</t>
  </si>
  <si>
    <r>
      <rPr>
        <sz val="11"/>
        <color rgb="FF0000FF"/>
        <rFont val="Calibri"/>
        <family val="2"/>
      </rPr>
      <t xml:space="preserve">BeastLarge
</t>
    </r>
    <r>
      <rPr>
        <sz val="11"/>
        <color rgb="FF000000"/>
        <rFont val="Calibri"/>
        <family val="2"/>
      </rPr>
      <t xml:space="preserve">Disarm Immune
Rotation Immune
</t>
    </r>
    <r>
      <rPr>
        <strike/>
        <sz val="11"/>
        <color rgb="FF000000"/>
        <rFont val="Calibri"/>
        <family val="2"/>
      </rPr>
      <t>+0.1 Damage Total Mult (Day 90+)</t>
    </r>
    <r>
      <rPr>
        <sz val="11"/>
        <color rgb="FF000000"/>
        <rFont val="Calibri"/>
        <family val="2"/>
      </rPr>
      <t xml:space="preserve">
Crippling Strikes
Pathfinder
</t>
    </r>
    <r>
      <rPr>
        <strike/>
        <sz val="11"/>
        <color rgb="FF000000"/>
        <rFont val="Calibri"/>
        <family val="2"/>
      </rPr>
      <t>Steel Brow</t>
    </r>
    <r>
      <rPr>
        <sz val="11"/>
        <color rgb="FF000000"/>
        <rFont val="Calibri"/>
        <family val="2"/>
      </rPr>
      <t xml:space="preserve">
Battering Ram
Stalwart
Resilient
unhold_racial
</t>
    </r>
    <r>
      <rPr>
        <sz val="11"/>
        <color rgb="FF0000FF"/>
        <rFont val="Calibri"/>
        <family val="2"/>
      </rPr>
      <t>Rattle
Dismantle - force enable
Formidable Approach - force enable
Menacing</t>
    </r>
  </si>
  <si>
    <t>unhold_bog</t>
  </si>
  <si>
    <r>
      <rPr>
        <sz val="11"/>
        <color rgb="FF0000FF"/>
        <rFont val="Calibri"/>
        <family val="2"/>
      </rPr>
      <t>BeastLarge + 1</t>
    </r>
    <r>
      <rPr>
        <sz val="11"/>
        <color rgb="FF000000"/>
        <rFont val="Calibri"/>
        <family val="2"/>
      </rPr>
      <t xml:space="preserve">
</t>
    </r>
    <r>
      <rPr>
        <strike/>
        <sz val="11"/>
        <color rgb="FF000000"/>
        <rFont val="Calibri"/>
        <family val="2"/>
      </rPr>
      <t>+0.15 Damage Total Mult</t>
    </r>
    <r>
      <rPr>
        <sz val="11"/>
        <color rgb="FF000000"/>
        <rFont val="Calibri"/>
        <family val="2"/>
      </rPr>
      <t xml:space="preserve">
Disarm Immune
Rotation Immune
</t>
    </r>
    <r>
      <rPr>
        <strike/>
        <sz val="11"/>
        <color rgb="FF000000"/>
        <rFont val="Calibri"/>
        <family val="2"/>
      </rPr>
      <t>+0.1 Damage Total Mult (Day 90+)</t>
    </r>
    <r>
      <rPr>
        <sz val="11"/>
        <color rgb="FF000000"/>
        <rFont val="Calibri"/>
        <family val="2"/>
      </rPr>
      <t xml:space="preserve">
Crippling Strikes
Pathfinder
</t>
    </r>
    <r>
      <rPr>
        <strike/>
        <sz val="11"/>
        <color rgb="FF000000"/>
        <rFont val="Calibri"/>
        <family val="2"/>
      </rPr>
      <t>Steel Brow</t>
    </r>
    <r>
      <rPr>
        <sz val="11"/>
        <color rgb="FF000000"/>
        <rFont val="Calibri"/>
        <family val="2"/>
      </rPr>
      <t xml:space="preserve">
</t>
    </r>
    <r>
      <rPr>
        <strike/>
        <sz val="11"/>
        <color rgb="FF000000"/>
        <rFont val="Calibri"/>
        <family val="2"/>
      </rPr>
      <t>Killing Frenzy</t>
    </r>
    <r>
      <rPr>
        <sz val="11"/>
        <color rgb="FF000000"/>
        <rFont val="Calibri"/>
        <family val="2"/>
      </rPr>
      <t xml:space="preserve">
Battering Ram
Stalwart
Resilient
unhold_racial
</t>
    </r>
    <r>
      <rPr>
        <sz val="11"/>
        <color rgb="FF0000FF"/>
        <rFont val="Calibri"/>
        <family val="2"/>
      </rPr>
      <t>Fearsome
Rattle
Dismantle - force enable
Formidable Approach - force enable
Menacing</t>
    </r>
  </si>
  <si>
    <t>unhold_racial</t>
  </si>
  <si>
    <t>0.15 Max Health Regen
+40 Init Rounds 1-2 (Armored)</t>
  </si>
  <si>
    <t>Beasts Swarm</t>
  </si>
  <si>
    <t>Alps</t>
  </si>
  <si>
    <t>alp</t>
  </si>
  <si>
    <t>Not Affected by Reach
Night Immune
Injury Immune
Bleed Immune
Poison Immune
Knockback and Grab Immune
alp_racial
Underdog</t>
  </si>
  <si>
    <t>Sleep
Nightmare
Alp Teleport</t>
  </si>
  <si>
    <t>alp_racial</t>
  </si>
  <si>
    <t>Direwolves</t>
  </si>
  <si>
    <t>direwolf</t>
  </si>
  <si>
    <r>
      <rPr>
        <sz val="11"/>
        <color rgb="FF0000FF"/>
        <rFont val="Calibri"/>
        <family val="2"/>
      </rPr>
      <t xml:space="preserve">BeastMedium
</t>
    </r>
    <r>
      <rPr>
        <sz val="11"/>
        <color rgb="FF000000"/>
        <rFont val="Calibri"/>
        <family val="2"/>
      </rPr>
      <t xml:space="preserve">Night Immune
Executioner
Berserk
Pathfinder
</t>
    </r>
    <r>
      <rPr>
        <sz val="11"/>
        <color rgb="FF0000FF"/>
        <rFont val="Calibri"/>
        <family val="2"/>
      </rPr>
      <t>Backstabber
Battle Flow
From All Sides (force enabled)</t>
    </r>
  </si>
  <si>
    <t>Werewolf Bite</t>
  </si>
  <si>
    <t>direwolf_bodyguard</t>
  </si>
  <si>
    <t>direwolf_high</t>
  </si>
  <si>
    <t xml:space="preserve">direwolf_high
</t>
  </si>
  <si>
    <r>
      <rPr>
        <sz val="11"/>
        <color theme="1"/>
        <rFont val="Calibri"/>
        <family val="2"/>
      </rPr>
      <t xml:space="preserve">direwolf
1.25 Damage Total Mult
Overwhelm
Relentless
</t>
    </r>
    <r>
      <rPr>
        <sz val="11"/>
        <color rgb="FF0000FF"/>
        <rFont val="Calibri"/>
        <family val="2"/>
      </rPr>
      <t>Dodge</t>
    </r>
  </si>
  <si>
    <t>Ghouls</t>
  </si>
  <si>
    <t>ghoul</t>
  </si>
  <si>
    <r>
      <rPr>
        <sz val="11"/>
        <color rgb="FF0000FF"/>
        <rFont val="Calibri"/>
        <family val="2"/>
      </rPr>
      <t>BeastSmall + 1</t>
    </r>
    <r>
      <rPr>
        <sz val="11"/>
        <color rgb="FF000000"/>
        <rFont val="Calibri"/>
        <family val="2"/>
      </rPr>
      <t xml:space="preserve">
Night Immune
Pathfinder
</t>
    </r>
    <r>
      <rPr>
        <sz val="11"/>
        <color rgb="FF0000FF"/>
        <rFont val="Calibri"/>
        <family val="2"/>
      </rPr>
      <t>Crippling Strikes
Deep Cuts</t>
    </r>
  </si>
  <si>
    <t>Ghoul Claws
Gruesome Feast</t>
  </si>
  <si>
    <t>ghoul_medium</t>
  </si>
  <si>
    <r>
      <rPr>
        <sz val="11"/>
        <color rgb="FF0000FF"/>
        <rFont val="Calibri"/>
        <family val="2"/>
      </rPr>
      <t>Beast Medium +1</t>
    </r>
    <r>
      <rPr>
        <sz val="11"/>
        <color rgb="FF000000"/>
        <rFont val="Calibri"/>
        <family val="2"/>
      </rPr>
      <t xml:space="preserve">
ghoul
</t>
    </r>
    <r>
      <rPr>
        <sz val="11"/>
        <color rgb="FF0000FF"/>
        <rFont val="Calibri"/>
        <family val="2"/>
      </rPr>
      <t>Executioner</t>
    </r>
  </si>
  <si>
    <t>ghoul_high</t>
  </si>
  <si>
    <r>
      <rPr>
        <sz val="11"/>
        <color rgb="FF0000FF"/>
        <rFont val="Calibri"/>
        <family val="2"/>
      </rPr>
      <t>Beast Large +1</t>
    </r>
    <r>
      <rPr>
        <sz val="11"/>
        <color rgb="FF000000"/>
        <rFont val="Calibri"/>
        <family val="2"/>
      </rPr>
      <t xml:space="preserve">
ghoul
</t>
    </r>
    <r>
      <rPr>
        <sz val="11"/>
        <color rgb="FF0000FF"/>
        <rFont val="Calibri"/>
        <family val="2"/>
      </rPr>
      <t>Fearsome
Menacing</t>
    </r>
  </si>
  <si>
    <t>Ghoul Claws
Gruesome Feast
Swallow Whole</t>
  </si>
  <si>
    <t>Hyenas</t>
  </si>
  <si>
    <t>hyena</t>
  </si>
  <si>
    <r>
      <rPr>
        <sz val="11"/>
        <color rgb="FF0000FF"/>
        <rFont val="Calibri"/>
        <family val="2"/>
      </rPr>
      <t xml:space="preserve">BeastMedium - 1
</t>
    </r>
    <r>
      <rPr>
        <sz val="11"/>
        <color rgb="FF000000"/>
        <rFont val="Calibri"/>
        <family val="2"/>
      </rPr>
      <t xml:space="preserve">Night Immune
</t>
    </r>
    <r>
      <rPr>
        <strike/>
        <sz val="11"/>
        <color rgb="FF000000"/>
        <rFont val="Calibri"/>
        <family val="2"/>
      </rPr>
      <t>Executioner</t>
    </r>
    <r>
      <rPr>
        <sz val="11"/>
        <color rgb="FF000000"/>
        <rFont val="Calibri"/>
        <family val="2"/>
      </rPr>
      <t xml:space="preserve">
Backstabber
Pathfinder
</t>
    </r>
    <r>
      <rPr>
        <sz val="11"/>
        <color rgb="FF0000FF"/>
        <rFont val="Calibri"/>
        <family val="2"/>
      </rPr>
      <t>Crippling Strikes
Sundering Strikes</t>
    </r>
  </si>
  <si>
    <t>Hyena Bite</t>
  </si>
  <si>
    <t>hyena_high</t>
  </si>
  <si>
    <r>
      <rPr>
        <sz val="11"/>
        <color rgb="FF0000FF"/>
        <rFont val="Calibri"/>
        <family val="2"/>
      </rPr>
      <t xml:space="preserve"> </t>
    </r>
    <r>
      <rPr>
        <sz val="11"/>
        <color theme="1"/>
        <rFont val="Calibri"/>
        <family val="2"/>
      </rPr>
      <t xml:space="preserve">hyena
1.25 Damage Total Mult
Overwhelm
Relentless
</t>
    </r>
    <r>
      <rPr>
        <sz val="11"/>
        <color rgb="FF0000FF"/>
        <rFont val="Calibri"/>
        <family val="2"/>
      </rPr>
      <t>Dodge</t>
    </r>
  </si>
  <si>
    <t>Serpents</t>
  </si>
  <si>
    <t>serpent</t>
  </si>
  <si>
    <r>
      <rPr>
        <sz val="11"/>
        <color rgb="FF0000FF"/>
        <rFont val="Calibri"/>
        <family val="2"/>
      </rPr>
      <t xml:space="preserve">BeastLarge
</t>
    </r>
    <r>
      <rPr>
        <sz val="11"/>
        <color rgb="FF000000"/>
        <rFont val="Calibri"/>
        <family val="2"/>
      </rPr>
      <t xml:space="preserve">Night Immune
</t>
    </r>
    <r>
      <rPr>
        <strike/>
        <sz val="11"/>
        <color rgb="FF000000"/>
        <rFont val="Calibri"/>
        <family val="2"/>
      </rPr>
      <t xml:space="preserve">+5 MeleeDefense (Day 20+)
</t>
    </r>
    <r>
      <rPr>
        <sz val="11"/>
        <color rgb="FF000000"/>
        <rFont val="Calibri"/>
        <family val="2"/>
      </rPr>
      <t xml:space="preserve">+0.15 Damage Direct Mult </t>
    </r>
    <r>
      <rPr>
        <strike/>
        <sz val="11"/>
        <color rgb="FF000000"/>
        <rFont val="Calibri"/>
        <family val="2"/>
      </rPr>
      <t>(Day 50+)</t>
    </r>
    <r>
      <rPr>
        <sz val="11"/>
        <color rgb="FF000000"/>
        <rFont val="Calibri"/>
        <family val="2"/>
      </rPr>
      <t xml:space="preserve">
serpent_racial
Pathfinder
Backstabber
Relentless</t>
    </r>
    <r>
      <rPr>
        <sz val="11"/>
        <color rgb="FF0000FF"/>
        <rFont val="Calibri"/>
        <family val="2"/>
      </rPr>
      <t xml:space="preserve">
From All Sides (force enabled)</t>
    </r>
  </si>
  <si>
    <t>Serpent Hook
Serpent Bite</t>
  </si>
  <si>
    <t>serpent_racial</t>
  </si>
  <si>
    <t>+15 Init When No Potential Target
0.66 Damage Received Mult (Firearm)</t>
  </si>
  <si>
    <t>Spiders</t>
  </si>
  <si>
    <t>spider</t>
  </si>
  <si>
    <t>Spider Bite
Web</t>
  </si>
  <si>
    <t>spider_eggs</t>
  </si>
  <si>
    <r>
      <rPr>
        <sz val="11"/>
        <color theme="1"/>
        <rFont val="Calibri"/>
        <family val="2"/>
      </rPr>
      <t xml:space="preserve">Knockback and Grab Immune
Night Immune
Injury Immune
Bleed Immune
Poison Immune
Stun Immune
Root Immune
Is Not Movable
Not Affected by Injuries
skeleton_racial
</t>
    </r>
    <r>
      <rPr>
        <sz val="11"/>
        <color rgb="FF0000FF"/>
        <rFont val="Calibri"/>
        <family val="2"/>
      </rPr>
      <t>Unaffected by Reach</t>
    </r>
  </si>
  <si>
    <t xml:space="preserve">Miscellaneous </t>
  </si>
  <si>
    <t>wolf</t>
  </si>
  <si>
    <r>
      <rPr>
        <sz val="11"/>
        <color rgb="FF0000FF"/>
        <rFont val="Calibri"/>
        <family val="2"/>
      </rPr>
      <t xml:space="preserve">BeastMedium - 1
</t>
    </r>
    <r>
      <rPr>
        <sz val="11"/>
        <color rgb="FF000000"/>
        <rFont val="Calibri"/>
        <family val="2"/>
      </rPr>
      <t xml:space="preserve">0.5 Target Attraction Mult
Injury Immune
Pathfinder
</t>
    </r>
    <r>
      <rPr>
        <sz val="11"/>
        <color rgb="FF0000FF"/>
        <rFont val="Calibri"/>
        <family val="2"/>
      </rPr>
      <t>Backstabber</t>
    </r>
  </si>
  <si>
    <t>Wolf Bite</t>
  </si>
  <si>
    <t>Civilians</t>
  </si>
  <si>
    <t>Basic</t>
  </si>
  <si>
    <t>peasant</t>
  </si>
  <si>
    <t>Peasant
Tier 1
Meat Sack</t>
  </si>
  <si>
    <t>Sackcloth
Thick Tunic
Apron
Tattered Sackcloth
Linen Tunic 6</t>
  </si>
  <si>
    <t>Helmet 33%
  Hood
  Headscarf
  Straw Hat
  Feathered Hat</t>
  </si>
  <si>
    <t>peasant_armed</t>
  </si>
  <si>
    <t>peasant_southern</t>
  </si>
  <si>
    <t>caravan_hand</t>
  </si>
  <si>
    <t>Leather Tunic
Thick Tunic
Padded Surcoat
Linen Tunic</t>
  </si>
  <si>
    <t>Helmet 33%
  Hood
  Aketon Cap</t>
  </si>
  <si>
    <t>cultist</t>
  </si>
  <si>
    <t>Culstist Leather Robe
Monk Robe</t>
  </si>
  <si>
    <t>Cultist Hood
Cultist Leather Hood</t>
  </si>
  <si>
    <t>envoy</t>
  </si>
  <si>
    <t>Helmet 33%
  Feathered Hat</t>
  </si>
  <si>
    <t>caravan_guard</t>
  </si>
  <si>
    <t>Caravan Guard
Tier 2-</t>
  </si>
  <si>
    <t>Leather Tunic
Padded Leather
Padded Surcoat
Leather Lamellar Armor</t>
  </si>
  <si>
    <t>Helmet 75%
  Hood
  Aketon Cap
  Full Aketon Cap
  Nasal Helmet
  Padded Nasal Helmet</t>
  </si>
  <si>
    <t>Bounty Hunters</t>
  </si>
  <si>
    <t>bounty_hunter</t>
  </si>
  <si>
    <t>Bounty Hunter</t>
  </si>
  <si>
    <t>Rugged Surcoat
Padded Leather
Patched Mail Shirt
Leather Lamellar Armor
Basic Mail Shirt
Mail Hauberk</t>
  </si>
  <si>
    <t>Helmet 90%
  Nasal Helmet
  Nasal Helmet with Mail
  Mail Coif
  Reinforced Mail Coif
  Headscarf
  Kettle Hat
  Kettle Hat with Mail
  Nordic Helmet</t>
  </si>
  <si>
    <t>bounty_hunter_ranged</t>
  </si>
  <si>
    <t xml:space="preserve">Bounty Hunter </t>
  </si>
  <si>
    <t>Thick Tunic
Padded Surcoat
Leather Lamellar Armor
Basic Mail Shirt
Rugged Surcoat
Basic Mail Shirt</t>
  </si>
  <si>
    <t>Helmet 50%
  Hood
  Aketon Cap
  Full Leather Cap
  Headscarf
  Full Aketon Cap</t>
  </si>
  <si>
    <t>Mercenaries</t>
  </si>
  <si>
    <t>mercenary_low</t>
  </si>
  <si>
    <t>Gambeson
Padded Leather
Rugged Surcoat
Padded Surcoat
Basic Mail Shirt
Mail Shirt
Mail Hauberk</t>
  </si>
  <si>
    <t>Helmet 90%
  Nasal Helmet
  Padded Nasal Helmet
  Mail Coif
  Closed Mail Coif
  Headscarf
  Kettle Hat
  Padded Kettle Hat
  Flat Top Helmet
  Padded Flat Top Helmet</t>
  </si>
  <si>
    <t>mercenary</t>
  </si>
  <si>
    <t>Helmet 95%
  Nasal Helmet
  Nasal Helmet with Mail
  Mail Coif
  Reinforced Mail Coif
  Headscarf
  Kettle Hat
  Kettle Hat with Mail
  Flat Top Helmet
  Flat Top with Mail
  Closed Flat Top Helmet
  Closed Mail Coif
  Bascinet with Mail
  Nordic Helmet
  Steppe Helmet with Mail</t>
  </si>
  <si>
    <t>mercenary_ranged</t>
  </si>
  <si>
    <t>Thick Tunic
Padded Surcoat
Basic Mail Shirt
Mail Shirt
Rugged Surcoat
Padded Leather</t>
  </si>
  <si>
    <t>Helmet 75%
  Hood
  Aketon Cap
  Full Leather Cap
  Headscarf
  Full Aketon Cap
  Kettle Hat
  Mail Coif</t>
  </si>
  <si>
    <t>oathbringer
oathtaker</t>
  </si>
  <si>
    <t>Oathbringer
Tier 3+</t>
  </si>
  <si>
    <t>Adorned Heavy Mail Hauberk</t>
  </si>
  <si>
    <t>Adorned Closed Flat Top with Mail 2
Adorned Full Helm 2
Full Helm</t>
  </si>
  <si>
    <t>Elites</t>
  </si>
  <si>
    <t>hedge_knight
2h 
Heavy
Powerhouse</t>
  </si>
  <si>
    <t>Hedge Knight
Tier 4
2h
Heavy
Powerhouse</t>
  </si>
  <si>
    <t>master_archer</t>
  </si>
  <si>
    <t xml:space="preserve">None 33%
Hood
Hunter's Hat
</t>
  </si>
  <si>
    <t>Restricted from AOE attacks</t>
  </si>
  <si>
    <t>Light:
Noble Mail
Medium:
Breastplate
Brigandine Armor</t>
  </si>
  <si>
    <t>Light: 
Duelist's Hat
Reinforced Mail Coif
Medium:
Zweihander Helmet
Padded Sallet Helmet
Barbute Helmet
Half Closed Sallet</t>
  </si>
  <si>
    <t>Goblins</t>
  </si>
  <si>
    <t>goblin</t>
  </si>
  <si>
    <r>
      <rPr>
        <sz val="11"/>
        <color theme="1"/>
        <rFont val="Calibri"/>
        <family val="2"/>
      </rPr>
      <t>Pathfinder
Quick Hands
Bullseye</t>
    </r>
    <r>
      <rPr>
        <strike/>
        <sz val="11"/>
        <color theme="1"/>
        <rFont val="Calibri"/>
        <family val="2"/>
      </rPr>
      <t xml:space="preserve">
Anticipatio</t>
    </r>
    <r>
      <rPr>
        <sz val="11"/>
        <color theme="1"/>
        <rFont val="Calibri"/>
        <family val="2"/>
      </rPr>
      <t xml:space="preserve">n
Footwork
</t>
    </r>
    <r>
      <rPr>
        <strike/>
        <sz val="11"/>
        <color theme="1"/>
        <rFont val="Calibri"/>
        <family val="2"/>
      </rPr>
      <t>-1 AP cost with melee weapons (overwrites lowered AP cost on goblin weapons)</t>
    </r>
  </si>
  <si>
    <t>goblin_ambusher_racial</t>
  </si>
  <si>
    <t>attacks apply poison effect</t>
  </si>
  <si>
    <t>goblin_fighter</t>
  </si>
  <si>
    <t>Goblin Light Armor(45)
Goblin Medium Armor(55)
Goblin Heavy Armor(90)</t>
  </si>
  <si>
    <t>Goblin Light Helmet(40) 75%
Goblin Heavy Helmet(90) 25%</t>
  </si>
  <si>
    <t>goblin_ambusher</t>
  </si>
  <si>
    <t>Goblin Skirmisher Armor(35)</t>
  </si>
  <si>
    <t>Goblin Skirmisher Helmet(25)</t>
  </si>
  <si>
    <t>goblin_wolfrider_racial</t>
  </si>
  <si>
    <t>Added by Reforged</t>
  </si>
  <si>
    <r>
      <rPr>
        <sz val="11"/>
        <color rgb="FF0000FF"/>
        <rFont val="Calibri"/>
        <family val="2"/>
      </rPr>
      <t>+1 Reach</t>
    </r>
    <r>
      <rPr>
        <sz val="11"/>
        <color rgb="FF000000"/>
        <rFont val="Calibri"/>
        <family val="2"/>
      </rPr>
      <t xml:space="preserve">
1 Additional Action Point Cost</t>
    </r>
  </si>
  <si>
    <t>goblin_wolfrider</t>
  </si>
  <si>
    <t>Goblin Medium Armor 75%
Goblin Heavy Armor 25%</t>
  </si>
  <si>
    <t>Goblin Light Helmet 75%
Goblin Heavy Helmet 25%</t>
  </si>
  <si>
    <t>goblin_shaman</t>
  </si>
  <si>
    <t>Goblin Shaman
Tier 3+
Support</t>
  </si>
  <si>
    <t>Goblin Staff</t>
  </si>
  <si>
    <t>Goblin Shaman Armor(45)</t>
  </si>
  <si>
    <t>Goblin Shaman Helmet(35)</t>
  </si>
  <si>
    <t>goblin
Vision 8
2.0 Target Attraction Mult
Night Immune
goblin_shaman_racial</t>
  </si>
  <si>
    <t>Root
Insects
Night Vision</t>
  </si>
  <si>
    <t>goblin_shaman_racial</t>
  </si>
  <si>
    <t>+100 Init for Turn Order Round 1 if Night</t>
  </si>
  <si>
    <t>goblin_leader</t>
  </si>
  <si>
    <t>Goblin Overseer
Tier 4
Leader
Ranged
Buffer</t>
  </si>
  <si>
    <t>Goblin Leader Armor(180)</t>
  </si>
  <si>
    <t>Goblin Leader Helmet(120)</t>
  </si>
  <si>
    <t>Goblin Whip</t>
  </si>
  <si>
    <t>militia</t>
  </si>
  <si>
    <t>Leather Tunic
Linen Tunic
Tattered Sackcloth
Sackcloth
Padded Surcoat
Thick Tunic
Apron</t>
  </si>
  <si>
    <t>Helmet 50%
  Hood
  Aketon Cap 
  Open Leather Cap
  Full Leather Cap
  Headscarf</t>
  </si>
  <si>
    <r>
      <rPr>
        <strike/>
        <sz val="11"/>
        <color rgb="FF000000"/>
        <rFont val="Calibri"/>
        <family val="2"/>
      </rPr>
      <t>Recover</t>
    </r>
    <r>
      <rPr>
        <sz val="11"/>
        <color rgb="FF0000FF"/>
        <rFont val="Calibri"/>
        <family val="2"/>
      </rPr>
      <t xml:space="preserve">
If shield: Phalanx
Strength in Numbers
Weapon T3</t>
    </r>
  </si>
  <si>
    <t>militia_ranged</t>
  </si>
  <si>
    <t>Leather Tunic
Linen Tunic
Tattered Sackcloth
Sackcloth</t>
  </si>
  <si>
    <t>Helmet 50%
  Hood
  Aketon Cap 
  Open Leather Cap
  Full Leather Cap</t>
  </si>
  <si>
    <r>
      <rPr>
        <sz val="11"/>
        <color rgb="FF000000"/>
        <rFont val="Calibri"/>
        <family val="2"/>
      </rPr>
      <t>Bullseye
Recover</t>
    </r>
    <r>
      <rPr>
        <sz val="11"/>
        <color rgb="FF0000FF"/>
        <rFont val="Calibri"/>
        <family val="2"/>
      </rPr>
      <t xml:space="preserve">
Strength in Numbers
T3 Weapon</t>
    </r>
  </si>
  <si>
    <t>militia_guest</t>
  </si>
  <si>
    <r>
      <rPr>
        <strike/>
        <sz val="11"/>
        <color rgb="FF000000"/>
        <rFont val="Calibri"/>
        <family val="2"/>
      </rPr>
      <t>Recover</t>
    </r>
    <r>
      <rPr>
        <sz val="11"/>
        <color rgb="FF0000FF"/>
        <rFont val="Calibri"/>
        <family val="2"/>
      </rPr>
      <t xml:space="preserve">
If shield: Phalanx
Strength in Numbers
Weapon T3</t>
    </r>
  </si>
  <si>
    <t>militia_guest_ranged</t>
  </si>
  <si>
    <t>T4 in equipped weapon
Strength in Numbers</t>
  </si>
  <si>
    <t>militia_veteran</t>
  </si>
  <si>
    <t>Leather Tunic
Gambeson
Padded Leather
Padded Surcoat
Leather Lamellar Armor
Thick Tunic</t>
  </si>
  <si>
    <t>Helmet 75%
  Hood
  Aketon Cap
  Full Aketon Cap</t>
  </si>
  <si>
    <r>
      <rPr>
        <sz val="11"/>
        <color rgb="FF0000FF"/>
        <rFont val="Calibri"/>
        <family val="2"/>
      </rPr>
      <t>Rotation</t>
    </r>
    <r>
      <rPr>
        <sz val="11"/>
        <color rgb="FF000000"/>
        <rFont val="Calibri"/>
        <family val="2"/>
      </rPr>
      <t xml:space="preserve">
</t>
    </r>
    <r>
      <rPr>
        <strike/>
        <sz val="11"/>
        <color rgb="FF000000"/>
        <rFont val="Calibri"/>
        <family val="2"/>
      </rPr>
      <t>Shield Expert</t>
    </r>
    <r>
      <rPr>
        <sz val="11"/>
        <color rgb="FF000000"/>
        <rFont val="Calibri"/>
        <family val="2"/>
      </rPr>
      <t xml:space="preserve">
</t>
    </r>
    <r>
      <rPr>
        <sz val="11"/>
        <color rgb="FF0000FF"/>
        <rFont val="Calibri"/>
        <family val="2"/>
      </rPr>
      <t>Strength In Numbers
T4 Weapon
Offhand Free: Duelist
Shield: Phalanx, Shield Expert
2h: Formidable Approach</t>
    </r>
  </si>
  <si>
    <t>militia_captain</t>
  </si>
  <si>
    <t>Basic Mail Shirt
Padded Leather
Mail Shirt</t>
  </si>
  <si>
    <t>Mail Coif
Kettle Hat
Nasal Helmet with Mail
Feathered Hat</t>
  </si>
  <si>
    <t>Nobles</t>
  </si>
  <si>
    <t>Regulars</t>
  </si>
  <si>
    <t>noble_footman</t>
  </si>
  <si>
    <t>Banner &lt;=4
Kettle Hat
Padded Kettle Hat
Skull Cap
Skull Cap with Rondels
Padded Skull Cap
Padded Skull Cap with Rondels
Banner &lt;=7
Flat Top Helmet
Padded Flat Top Helmet
Skull Cap
Skull Cap with Rondels
Padded Skull Cap
Padded Skull Cap with Rondels
Else
Nasal Helmet
Padded Nasal Helmet
Skull Cap
Skull Cap with Rondels
Padded Skull Cap
Padded Skull Cap with Rondels</t>
  </si>
  <si>
    <t xml:space="preserve">rf_noble_footman_heavy
</t>
  </si>
  <si>
    <t xml:space="preserve">Mail Hauberk
Footman's Armor
Reinforced Mail Hauberk
</t>
  </si>
  <si>
    <t>Banner &lt;=4
Kettle Hat with Mail
Skull Cap with Mail
Sallet with Mail 0.5
Banner &lt;=7
Flat Top with Mail
Skull Cap with Mail
Sallet with Mail 0.5
Else
Nasal Helmet Closed Mail
Skull Cap with Mail
Sallet with Mail 0.5</t>
  </si>
  <si>
    <t>noble_billman</t>
  </si>
  <si>
    <t>Gambeson
Basic Mail Shirt
Mail Shirt</t>
  </si>
  <si>
    <t xml:space="preserve">75%
  Banner &lt;=4
  Mail Coif
  Kettle Hat
  Padded Kettle Hat
  Skull Cap
  Skull Cap with Rondels
  Banner &lt;=7
  Mail Coif
  Flat Top Helmet
  Padded Flat Top Helmet
  Skull Cap
  Skull Cap with Rondels
  Else
  Mail Coif
  Nasal Helmet
  Padded Nasal Helmet
  Skull Cap
  Skull Cap with Rondels
25%
  Aketon Cap
  Full Aketon Cap
  </t>
  </si>
  <si>
    <t>Battleforged
Rotation
T7 Weapon</t>
  </si>
  <si>
    <t>rf_noble_billman_heavy</t>
  </si>
  <si>
    <t>Mail Shirt
Mail Hauberk
Light Scale Armor</t>
  </si>
  <si>
    <t>75%
  Banner &lt;=4
  Padded Kettle Hat
  Kettle Hat with Mail
  Padded Skull Cap
  Padded Skull Cap with Rondels
  Banner &lt;=7
  Padded Flat Top Helmet
  Flat Top with Mail
  Padded Skull Cap
  Padded Skull Cap with Rondels
  Else
  Padded Nasal Helmet
  Nasal Helmet with Mail
  Padded Skull Cap
  Padded Skull Cap with Rondels
25%
  Full Aketon Cap
  Mail Coif
  Skull Cap
  Skull Cap with Rondels</t>
  </si>
  <si>
    <t>noble_arbalester</t>
  </si>
  <si>
    <t>Gambeson
Padded Leather
Leather Lamellar Armor
Basic Mail Shirt</t>
  </si>
  <si>
    <r>
      <rPr>
        <sz val="11"/>
        <color theme="1"/>
        <rFont val="Calibri, Arial"/>
      </rPr>
      <t>None
Headscarf</t>
    </r>
    <r>
      <rPr>
        <sz val="11"/>
        <color theme="1"/>
        <rFont val="Calibri, Arial"/>
      </rPr>
      <t xml:space="preserve">
Aketon Cap
Full Aketon Cap
Mail Coif
Skull Cap</t>
    </r>
  </si>
  <si>
    <t>rf_noble_arbalester_heavy</t>
  </si>
  <si>
    <t xml:space="preserve">Leather Lamellar Armor
Basic Mail Shirt
Mail Shirt
</t>
  </si>
  <si>
    <t>Full Aketon Cap
Mail Coif
Closed Mail Coif
Skull Cap</t>
  </si>
  <si>
    <t>1.1 Target Attraction Mult
Bullseye
Entrenched
Rotation
Through the Ranks
T7 Equipped Weapon</t>
  </si>
  <si>
    <t>rf_noble_man_at_arms</t>
  </si>
  <si>
    <t>rf_noble_fencer</t>
  </si>
  <si>
    <t>rf_heralds_bodyguard</t>
  </si>
  <si>
    <t>Royal Guard</t>
  </si>
  <si>
    <t>Scale Armor
Reinforced Footman Armor
Brigandine Harness</t>
  </si>
  <si>
    <t>Sallet Helmet with Bevor
Half Closed Sallet with Mail
Full Helm</t>
  </si>
  <si>
    <t>Leaders</t>
  </si>
  <si>
    <t>standard_bearer</t>
  </si>
  <si>
    <t>Faction Banner</t>
  </si>
  <si>
    <t xml:space="preserve">Basic Mail Shirt 2
Mail Shirt 
Mail Hauberk </t>
  </si>
  <si>
    <t>Helmet 75%
  Banner &lt;=4
    Kettle Hat
    Padded Kettle Hat
  Banner &lt;=7
    Flat Top Helmet
    Padded Flat Top Helmet
  Else
    Nasal Helmet
    Padded Nasal Helmet
Else
  Aketon Cap
  Full Aketon Cap
  Mail Coif</t>
  </si>
  <si>
    <r>
      <rPr>
        <sz val="11"/>
        <color theme="1"/>
        <rFont val="Calibri"/>
        <family val="2"/>
      </rPr>
      <t xml:space="preserve">1.5 Target Attraction Mult
Inspiring Presence
Rally the Troops
</t>
    </r>
    <r>
      <rPr>
        <strike/>
        <sz val="11"/>
        <color theme="1"/>
        <rFont val="Calibri"/>
        <family val="2"/>
      </rPr>
      <t>Rotation</t>
    </r>
  </si>
  <si>
    <r>
      <rPr>
        <b/>
        <sz val="11"/>
        <color theme="1"/>
        <rFont val="Calibri"/>
        <family val="2"/>
      </rPr>
      <t>For the Realm!</t>
    </r>
    <r>
      <rPr>
        <sz val="11"/>
        <color theme="1"/>
        <rFont val="Calibri"/>
        <family val="2"/>
      </rPr>
      <t xml:space="preserve">
Receive no morale check from dying allies as long as a faction member carries your banner and your faction outnumbers your enemies</t>
    </r>
  </si>
  <si>
    <t>rf_herald</t>
  </si>
  <si>
    <t>Mail Hauberk
Light Scale Armor</t>
  </si>
  <si>
    <t>Zweihander Helmet</t>
  </si>
  <si>
    <r>
      <rPr>
        <sz val="11"/>
        <color theme="1"/>
        <rFont val="Calibri, Arial"/>
      </rPr>
      <t>1.5 Target Attraction Mult
Assured Conquest
Command</t>
    </r>
    <r>
      <rPr>
        <sz val="11"/>
        <color rgb="FF0000FF"/>
        <rFont val="Calibri, Arial"/>
      </rPr>
      <t xml:space="preserve">
</t>
    </r>
    <r>
      <rPr>
        <sz val="11"/>
        <color theme="1"/>
        <rFont val="Calibri, Arial"/>
      </rPr>
      <t>Exude Confidence
Inspiring Presence
Rally the Troops</t>
    </r>
  </si>
  <si>
    <r>
      <rPr>
        <b/>
        <sz val="11"/>
        <color theme="1"/>
        <rFont val="Calibri"/>
        <family val="2"/>
      </rPr>
      <t>For the Realm!</t>
    </r>
    <r>
      <rPr>
        <sz val="11"/>
        <color theme="1"/>
        <rFont val="Calibri"/>
        <family val="2"/>
      </rPr>
      <t xml:space="preserve">
Receive no morale check from dying allies as long as a faction member carries your banner and your faction outnumbers your enemies</t>
    </r>
  </si>
  <si>
    <t>noble_sergeant</t>
  </si>
  <si>
    <t>Mail Hauberk
Reinforced Mail Hauberk</t>
  </si>
  <si>
    <t>None</t>
  </si>
  <si>
    <t>rf_noble_marshal</t>
  </si>
  <si>
    <t>Brigandine Shirt
Breastplate
Brigandine Armor</t>
  </si>
  <si>
    <t>Duelist's Hat</t>
  </si>
  <si>
    <t>Captain
Decisive
Duelist
Finesse
Poise
Resilient
Rotation 
Blitzkreig
Onslaught
Hold Steady
Shield Sergeant
T7 Weapon</t>
  </si>
  <si>
    <t xml:space="preserve">
Coat of Scales
Coat of Plates</t>
  </si>
  <si>
    <t>Full Helm
Visored Bascinet
Decorated Full Helm</t>
  </si>
  <si>
    <t>Breastplate Harness
Foreign Plate Harness</t>
  </si>
  <si>
    <t>Snubnose Bascinet with Mail
Hounskull Bascinet with Mail</t>
  </si>
  <si>
    <t>rf_noble_squire</t>
  </si>
  <si>
    <t>Squire
Tier 3
Always fights alongside their Knight
Balanced
1h/Shield</t>
  </si>
  <si>
    <t xml:space="preserve">Faction Mail Hauberk
</t>
  </si>
  <si>
    <t>Open Faced Sallet Helmet
Sallet Helmet</t>
  </si>
  <si>
    <t>Battleforged
Rotation
Shield Expert
The Rush of Battle
Mentor's Presence
T4 Weapon</t>
  </si>
  <si>
    <t>Nomads</t>
  </si>
  <si>
    <t>nomad_cutthroat</t>
  </si>
  <si>
    <t>Cloth Sash(20) 2
Leather Wraps(20)
Nomad Robe(30) 2
Thick Nomad Robe(50) 2</t>
  </si>
  <si>
    <t>Nomad Head Wrap 2
Leather Head Wrap
Nomad Leather Cap</t>
  </si>
  <si>
    <r>
      <rPr>
        <sz val="11"/>
        <color theme="1"/>
        <rFont val="Calibri, Arial"/>
      </rPr>
      <t xml:space="preserve">Backstabber
</t>
    </r>
    <r>
      <rPr>
        <strike/>
        <sz val="11"/>
        <color theme="1"/>
        <rFont val="Calibri, Arial"/>
      </rPr>
      <t>Rotation</t>
    </r>
    <r>
      <rPr>
        <sz val="11"/>
        <color theme="1"/>
        <rFont val="Calibri, Arial"/>
      </rPr>
      <t xml:space="preserve">
</t>
    </r>
    <r>
      <rPr>
        <strike/>
        <sz val="11"/>
        <color theme="1"/>
        <rFont val="Calibri, Arial"/>
      </rPr>
      <t>Recover</t>
    </r>
    <r>
      <rPr>
        <sz val="11"/>
        <color theme="1"/>
        <rFont val="Calibri, Arial"/>
      </rPr>
      <t xml:space="preserve">
Pathfinder
Dodge </t>
    </r>
    <r>
      <rPr>
        <strike/>
        <sz val="11"/>
        <color theme="1"/>
        <rFont val="Calibri, Arial"/>
      </rPr>
      <t>(Day 35+)</t>
    </r>
    <r>
      <rPr>
        <sz val="11"/>
        <color theme="1"/>
        <rFont val="Calibri, Arial"/>
      </rPr>
      <t xml:space="preserve">
Weapon T3</t>
    </r>
  </si>
  <si>
    <t>Throw Dirt</t>
  </si>
  <si>
    <t>nomad_slinger</t>
  </si>
  <si>
    <t>Nomad Slinger
Tier 1
Ranged</t>
  </si>
  <si>
    <t>Nomad Sling
Knife
Wooden Stick</t>
  </si>
  <si>
    <t>Cloth Sash
Nomad Robe
Thick Nomad Robe</t>
  </si>
  <si>
    <r>
      <rPr>
        <sz val="11"/>
        <color theme="1"/>
        <rFont val="Calibri, Arial"/>
      </rPr>
      <t xml:space="preserve">1.1 Target Attraction Mult
Rotation
Recover
Pathfinder
</t>
    </r>
    <r>
      <rPr>
        <strike/>
        <sz val="11"/>
        <color theme="1"/>
        <rFont val="Calibri, Arial"/>
      </rPr>
      <t xml:space="preserve">Headhunter (Day 30+)
</t>
    </r>
    <r>
      <rPr>
        <sz val="11"/>
        <color rgb="FF0000FF"/>
        <rFont val="Calibri, Arial"/>
      </rPr>
      <t>Calculated Strikes</t>
    </r>
  </si>
  <si>
    <t>nomad_archer</t>
  </si>
  <si>
    <t>Nomad Archer
Tier 2
Ranged</t>
  </si>
  <si>
    <t>Nomad Head Wrap(30) 2
Nomad Leather Cap(50)</t>
  </si>
  <si>
    <t>nomad_outlaw</t>
  </si>
  <si>
    <t>Leather Nomad Robe(65)
Stitched Nomad Armor(80)
Plated Nomad Mail(105)</t>
  </si>
  <si>
    <t>Leather Head Wrap(40)
Nomad Leather Cap(50)
Nomad Light Helmet(70)
Nomad Reinforced Helmet(125)</t>
  </si>
  <si>
    <t>nomad_leader</t>
  </si>
  <si>
    <t>Nomad Leader
Tier 3+
Bruiser
High Damage</t>
  </si>
  <si>
    <t>Plated Nomad Mail
Southern Long Mail Shirt with Padding</t>
  </si>
  <si>
    <t>Nomad Reinforced Helmet 2
Southern Helmet with Coif(200)
Steppe Helmet with Mail(200)</t>
  </si>
  <si>
    <t>desert_devil</t>
  </si>
  <si>
    <t>Assassin Robe
Leather Scale Armor</t>
  </si>
  <si>
    <t>Blade Dancer Head Wrap</t>
  </si>
  <si>
    <t>desert_stalker</t>
  </si>
  <si>
    <t>Desert Stalker
Tier 4
Ranged</t>
  </si>
  <si>
    <t>Plated Nomad Mail</t>
  </si>
  <si>
    <t>Desert Stalker Head Wrap</t>
  </si>
  <si>
    <t>executioner</t>
  </si>
  <si>
    <t>Executioner
Tier 4
2h
Heavy
Powerhouse</t>
  </si>
  <si>
    <t>Lamellar Harness
Heavy Lamellar Armor</t>
  </si>
  <si>
    <t>Southern Helmet with Coif(200)
Turban Helmet (290)</t>
  </si>
  <si>
    <t>Orcs</t>
  </si>
  <si>
    <t>rf_orc_racial</t>
  </si>
  <si>
    <t>Orc Racial</t>
  </si>
  <si>
    <t>+25% injury threshold</t>
  </si>
  <si>
    <t>orc_young</t>
  </si>
  <si>
    <t>Orc Young
Tier 2
Bruiser</t>
  </si>
  <si>
    <t>None
Orc Young Very Light Armor (35/0)
Orc Young Light Armor (60/10)
Orc Young Medium Armor (80/14)
Orc Young Heavy Armor (120/20)</t>
  </si>
  <si>
    <t>None
Orc Young Light Helmet(35/0)
Orc Young Medium Helmet(60/5)
Orc Young Heavy Helmet (120/10)</t>
  </si>
  <si>
    <t>orc_berserker</t>
  </si>
  <si>
    <t xml:space="preserve">Orc Berserker
Tier 3
Elite Bruiser
</t>
  </si>
  <si>
    <t>None 3
Orc Berserker Light Armor(50/5)
Orc Berserker Medium Armor(110/10)</t>
  </si>
  <si>
    <t>None 2
Orc Berserker Helmet (120/10)</t>
  </si>
  <si>
    <t>Hand to Hand Orc
Charge
Berserker Rage Effect</t>
  </si>
  <si>
    <t>orc_warrior</t>
  </si>
  <si>
    <t>Orc Warrior
Tier 4
Bulwark</t>
  </si>
  <si>
    <t>Orc Warrior Light Armor (280/22)
Orc Warrior Medium Armor (340/26)
Orc Warrior Heavy Armor(400/30) 2</t>
  </si>
  <si>
    <t>Orc Warrior Light Helmet(240/13)
Orc Warrior Medium Helmet (300/18)
Orc Warrior Heavy Helmet(360/23)</t>
  </si>
  <si>
    <t>Hand to Hand Orc
Line Breaker</t>
  </si>
  <si>
    <t>orc_warlord</t>
  </si>
  <si>
    <t>Orc Warlord
Tier 5
Leader, Bulwark, Bruiser</t>
  </si>
  <si>
    <t>Orc Warlord Armor(500/40)</t>
  </si>
  <si>
    <t>Orc Warlord Helmet(500/25)</t>
  </si>
  <si>
    <t>Hand to Hand Orc
Warcry
Line Breaker</t>
  </si>
  <si>
    <t>Southern</t>
  </si>
  <si>
    <t>engineer</t>
  </si>
  <si>
    <t>Weapon 50%
  Knife
  Wooden Stick</t>
  </si>
  <si>
    <t>Padded Vest</t>
  </si>
  <si>
    <t>Engineer Hat</t>
  </si>
  <si>
    <t>1.1 Target Attraction Mult
Rotation
Recover</t>
  </si>
  <si>
    <t>Load Mortar</t>
  </si>
  <si>
    <t>slave</t>
  </si>
  <si>
    <t>Armor 66%
 Sackcloth
  Tattered Sackcloth</t>
  </si>
  <si>
    <t>Helmet 33%
  Southern Head Wrap</t>
  </si>
  <si>
    <r>
      <rPr>
        <sz val="11"/>
        <color rgb="FF000000"/>
        <rFont val="Calibri"/>
        <family val="2"/>
      </rPr>
      <t xml:space="preserve">Backstabber
</t>
    </r>
    <r>
      <rPr>
        <sz val="11"/>
        <color rgb="FF0000FF"/>
        <rFont val="Calibri"/>
        <family val="2"/>
      </rPr>
      <t>Strength in Numbers</t>
    </r>
  </si>
  <si>
    <t>slave_northern</t>
  </si>
  <si>
    <t>conscript</t>
  </si>
  <si>
    <t>Linothorax 2
Southern Mail Shirt</t>
  </si>
  <si>
    <t>Southern Head Wrap
Wrapped Southern Helmet
Spiked Skull Cap with Mail</t>
  </si>
  <si>
    <t>gunner</t>
  </si>
  <si>
    <t>Gunner Hat</t>
  </si>
  <si>
    <t>assassin</t>
  </si>
  <si>
    <t>Assassin Robe</t>
  </si>
  <si>
    <t>Assassin Head Wrap
Assassin Face Mask</t>
  </si>
  <si>
    <t>gladiator</t>
  </si>
  <si>
    <t>Helmet 50%
  Gladiator Helmet</t>
  </si>
  <si>
    <t>officer</t>
  </si>
  <si>
    <t>Padded Mail and Lamellar Hauberk
Southern Long Mail with Padding
Mail and Lamellar Plating</t>
  </si>
  <si>
    <t>Turban Helmet
Heavy Lamellar Helmet
Southern Helmet with Coif</t>
  </si>
  <si>
    <t>Undead</t>
  </si>
  <si>
    <t>rf_zombie_racial</t>
  </si>
  <si>
    <t>zombie (wiederganger)</t>
  </si>
  <si>
    <t>No Double Grip</t>
  </si>
  <si>
    <t>Leather Tunic
Linen Tunic 2
Sackcloth
Tattered Sackcloth
Leather Wraps
Apron
Butcher's Apron
Monk Robe
50% reduce armor condition</t>
  </si>
  <si>
    <t>Helmet 35%
  Hood
  Aketon Cap
  Full Aketon Cap
  Open Leather Cap
  Full Leather Cap
50% reduce armor condition</t>
  </si>
  <si>
    <r>
      <rPr>
        <sz val="11"/>
        <color rgb="FF000000"/>
        <rFont val="Calibri"/>
        <family val="2"/>
      </rPr>
      <t xml:space="preserve">66% Resurrection Chance
2.0 Resurrection Value
</t>
    </r>
    <r>
      <rPr>
        <strike/>
        <sz val="11"/>
        <color rgb="FF000000"/>
        <rFont val="Calibri"/>
        <family val="2"/>
      </rPr>
      <t xml:space="preserve">10 Surround Bonus
0.1 Damage Total Mult (Day 90+)
Battleforged
</t>
    </r>
    <r>
      <rPr>
        <sz val="11"/>
        <color rgb="FF0000FF"/>
        <rFont val="Calibri"/>
        <family val="2"/>
      </rPr>
      <t>Backstabber
Overwhelm
Wear Them Down (force enabled)</t>
    </r>
  </si>
  <si>
    <t>Zombie Bite</t>
  </si>
  <si>
    <t>zombie_nomad</t>
  </si>
  <si>
    <t>ghost</t>
  </si>
  <si>
    <t>Geist</t>
  </si>
  <si>
    <t>Ghastly Touch
Horrific Scream</t>
  </si>
  <si>
    <t>ghost_racial</t>
  </si>
  <si>
    <t>necromancer</t>
  </si>
  <si>
    <t>Ragged Dark Surcoat
Thick Dark Tunic</t>
  </si>
  <si>
    <t>Witchhunter Hat
Dark Cowl
Hood (variant 63)</t>
  </si>
  <si>
    <t>Raise Undead
Possess Undead</t>
  </si>
  <si>
    <t>zombie_treasure_hunter (Lost treasure hunter)</t>
  </si>
  <si>
    <t>Stitcheed Nomad Armor
Leather Nomad Robe
Nomad Robe
Thick Nomad Robe</t>
  </si>
  <si>
    <t>zombie_yeoman (armored wiederganger)</t>
  </si>
  <si>
    <t>Padded Leather
Worn Mail Shirt
Patched Mail Shirt
Rugged Surcoat
Basic Mail Shirt
66% reduce armor condition</t>
  </si>
  <si>
    <t>Helmet 75%
  Aketon Cap
  Full Aketon Cap
  Kettle Hat
  Padded Kettle Hat
  Dented Nasal Helmet
  Mail Coif
  Full Leather Cap
66% reduce armor condiditon</t>
  </si>
  <si>
    <t>zombie_yeoman_bodyguard</t>
  </si>
  <si>
    <t>Helmet 75%
  Aketon Cap
  Full Aketon Cap
  Kettle Hat
  Padded Kettle Hat
  Dented Nasal Helmet
  Mail Coif
  Full Leather Cap
66% reduce armor condiditon</t>
  </si>
  <si>
    <t>zombie_knight (fallen hero)</t>
  </si>
  <si>
    <t>Decayed Coat of Plates
Decayed Coat of Scales
Decayed Reinforced Mail Hauberk
33% reduce armor condition</t>
  </si>
  <si>
    <t>Decayed Closed Flat Top with Sack
Decayed Closed Flat Top with Mail 3
Decayed Full Helm 3
Decayed Great Helm 3
33% reduce armor condition</t>
  </si>
  <si>
    <t>zombie_knight_bodyguard</t>
  </si>
  <si>
    <t>zombie_knight
Shield Spec</t>
  </si>
  <si>
    <t>zombie_betrayer (Fallen Betrayer)</t>
  </si>
  <si>
    <t>zombie_boss (rachegeist)</t>
  </si>
  <si>
    <t>Reforged stats
-----&gt;</t>
  </si>
  <si>
    <t>Skill</t>
  </si>
  <si>
    <t>Action Point Cost</t>
  </si>
  <si>
    <t>chop</t>
  </si>
  <si>
    <t>split_shield</t>
  </si>
  <si>
    <t>split_man</t>
  </si>
  <si>
    <t>round_swing</t>
  </si>
  <si>
    <t>strike</t>
  </si>
  <si>
    <t>sunder</t>
  </si>
  <si>
    <t>bardiche</t>
  </si>
  <si>
    <t>aimed_shot</t>
  </si>
  <si>
    <t>quick_shot</t>
  </si>
  <si>
    <t>thorned_whip</t>
  </si>
  <si>
    <t>Base</t>
  </si>
  <si>
    <t>battle_whip</t>
  </si>
  <si>
    <t>falx</t>
  </si>
  <si>
    <t>cleave</t>
  </si>
  <si>
    <t>decapitate</t>
  </si>
  <si>
    <t>scramasax</t>
  </si>
  <si>
    <t>gash</t>
  </si>
  <si>
    <t>khopesh</t>
  </si>
  <si>
    <t>two_handed_saif</t>
  </si>
  <si>
    <t>rf_voulge</t>
  </si>
  <si>
    <t>rusty_warblade</t>
  </si>
  <si>
    <t>two_handed_scimitar</t>
  </si>
  <si>
    <t>rf_great_khopesh</t>
  </si>
  <si>
    <t>rf_two_handed_falchion</t>
  </si>
  <si>
    <t>rf_kriegsmesser</t>
  </si>
  <si>
    <t>handgonne</t>
  </si>
  <si>
    <t>knife</t>
  </si>
  <si>
    <t>shoot_bolt</t>
  </si>
  <si>
    <t>reload_bolt</t>
  </si>
  <si>
    <t>stab</t>
  </si>
  <si>
    <t>puncture</t>
  </si>
  <si>
    <t>deathblow</t>
  </si>
  <si>
    <t>lash</t>
  </si>
  <si>
    <t>military_pick</t>
  </si>
  <si>
    <t>pound</t>
  </si>
  <si>
    <t>thresh</t>
  </si>
  <si>
    <t>cascade</t>
  </si>
  <si>
    <t xml:space="preserve">Batter: 
Demolish Armor: </t>
  </si>
  <si>
    <t>hail</t>
  </si>
  <si>
    <t>drum_item</t>
  </si>
  <si>
    <t>lute</t>
  </si>
  <si>
    <t>wooden_stick</t>
  </si>
  <si>
    <t>crush_armor</t>
  </si>
  <si>
    <t>bludgeon</t>
  </si>
  <si>
    <t>smite</t>
  </si>
  <si>
    <t>claw_club</t>
  </si>
  <si>
    <t>shatter</t>
  </si>
  <si>
    <t>goblin_staff</t>
  </si>
  <si>
    <t>batter</t>
  </si>
  <si>
    <t>orc_wooden_club</t>
  </si>
  <si>
    <t>demolish_armor</t>
  </si>
  <si>
    <t>orc_metal_club</t>
  </si>
  <si>
    <t>morning_star</t>
  </si>
  <si>
    <t>bash</t>
  </si>
  <si>
    <t>knock_out</t>
  </si>
  <si>
    <t>cudgel</t>
  </si>
  <si>
    <t>pitchfork</t>
  </si>
  <si>
    <t>strike_down</t>
  </si>
  <si>
    <t>broken_bladed_pike</t>
  </si>
  <si>
    <t>hooked_blade</t>
  </si>
  <si>
    <t>goblin_pike</t>
  </si>
  <si>
    <t>bladed_pike</t>
  </si>
  <si>
    <t>warscythe</t>
  </si>
  <si>
    <t>billhook</t>
  </si>
  <si>
    <t>rf_halberd</t>
  </si>
  <si>
    <t>pike</t>
  </si>
  <si>
    <t>player_banner</t>
  </si>
  <si>
    <t>faction_banner</t>
  </si>
  <si>
    <t>firelance</t>
  </si>
  <si>
    <t>impale</t>
  </si>
  <si>
    <t>warfork</t>
  </si>
  <si>
    <t>rupture</t>
  </si>
  <si>
    <t>spetum</t>
  </si>
  <si>
    <t>goedendag</t>
  </si>
  <si>
    <t>repel</t>
  </si>
  <si>
    <t>hook</t>
  </si>
  <si>
    <t>reap</t>
  </si>
  <si>
    <t>goblin_falchion</t>
  </si>
  <si>
    <t>saif</t>
  </si>
  <si>
    <t>thrust</t>
  </si>
  <si>
    <t>falchion</t>
  </si>
  <si>
    <t>prong</t>
  </si>
  <si>
    <t>scimitar</t>
  </si>
  <si>
    <t>ignite_firelance</t>
  </si>
  <si>
    <t>shamshir</t>
  </si>
  <si>
    <t>rhomphaia</t>
  </si>
  <si>
    <t>slash</t>
  </si>
  <si>
    <t>warbrand</t>
  </si>
  <si>
    <t>riposte</t>
  </si>
  <si>
    <t>overhead_strike</t>
  </si>
  <si>
    <t>rf_estoc</t>
  </si>
  <si>
    <t>split</t>
  </si>
  <si>
    <t>swing</t>
  </si>
  <si>
    <t>Lunge</t>
  </si>
  <si>
    <t>goblin_notched_blade</t>
  </si>
  <si>
    <t>goblin_spiked_balls</t>
  </si>
  <si>
    <t>sling_stone_skill</t>
  </si>
  <si>
    <t>staff_sling</t>
  </si>
  <si>
    <t>throw_balls</t>
  </si>
  <si>
    <t>orc_javelin</t>
  </si>
  <si>
    <t>throw_javelin</t>
  </si>
  <si>
    <t>javelin</t>
  </si>
  <si>
    <t>heavy_javelin</t>
  </si>
  <si>
    <t>nomad_sling</t>
  </si>
  <si>
    <t>Tattered Sackcloth</t>
  </si>
  <si>
    <t>Leather Wraps</t>
  </si>
  <si>
    <t>Monk's Robe</t>
  </si>
  <si>
    <t>Wizard's Robe</t>
  </si>
  <si>
    <t>Butcher's Apron</t>
  </si>
  <si>
    <t>Undertaker's Apron</t>
  </si>
  <si>
    <t>Leather Tunic</t>
  </si>
  <si>
    <t>Thick Furs</t>
  </si>
  <si>
    <t>Nomad Robe</t>
  </si>
  <si>
    <t>Dark Thick Tunic</t>
  </si>
  <si>
    <t>Thick Tunic</t>
  </si>
  <si>
    <t>Gladiator Harness</t>
  </si>
  <si>
    <t>Animal Hide Armor</t>
  </si>
  <si>
    <t>Padded Surcoat</t>
  </si>
  <si>
    <t>Thick Nomad Robe</t>
  </si>
  <si>
    <t>Rugged Surcoat</t>
  </si>
  <si>
    <t>Dark Rugged Surcoat</t>
  </si>
  <si>
    <t>Wanderer's Coat</t>
  </si>
  <si>
    <t>Gambeson</t>
  </si>
  <si>
    <t>Leather Nomad Robe</t>
  </si>
  <si>
    <t>Reinforced Animal Hide Armor</t>
  </si>
  <si>
    <t>Blotched Gambeson</t>
  </si>
  <si>
    <t>Linothorax</t>
  </si>
  <si>
    <t>Scrap Metal Armor</t>
  </si>
  <si>
    <t>Padded Leather</t>
  </si>
  <si>
    <t>Stitched Nomad Armor</t>
  </si>
  <si>
    <t>Cultist Leather Robe</t>
  </si>
  <si>
    <t>Patched Mail Shirt</t>
  </si>
  <si>
    <t>Leather Lamellar Armor</t>
  </si>
  <si>
    <t>Reinforced Leather Armor</t>
  </si>
  <si>
    <t>Southern Mail Shirt</t>
  </si>
  <si>
    <t>Worn Mail Shirt</t>
  </si>
  <si>
    <t>Basic Mail Shirt</t>
  </si>
  <si>
    <t>Assassin's Robe</t>
  </si>
  <si>
    <t>Mail Shirt</t>
  </si>
  <si>
    <t>Mail with Lamellar Plating</t>
  </si>
  <si>
    <t>Leather Scale Armor</t>
  </si>
  <si>
    <t>Rugged Scale Armor</t>
  </si>
  <si>
    <t>Adorned Mail Shirt</t>
  </si>
  <si>
    <t>Noble Mail</t>
  </si>
  <si>
    <t>Light Scale Armor</t>
  </si>
  <si>
    <t>Heavy Iron Armor</t>
  </si>
  <si>
    <t>Decayed Reinforced Mail Hauberk</t>
  </si>
  <si>
    <t>Brigandine Shirt</t>
  </si>
  <si>
    <t>Footman's Armor</t>
  </si>
  <si>
    <t>Adorned Warrior's Armor</t>
  </si>
  <si>
    <t>Southern Long Mail Shirt with Padding</t>
  </si>
  <si>
    <t>Reinforced Mail Hauberk</t>
  </si>
  <si>
    <t>Breastplate</t>
  </si>
  <si>
    <t>Brigandine Armor</t>
  </si>
  <si>
    <t>Lamellar Harness</t>
  </si>
  <si>
    <t>Thick Plated Barbarian Armor</t>
  </si>
  <si>
    <t>Scale Armor</t>
  </si>
  <si>
    <t>Decayed Coat of Scales</t>
  </si>
  <si>
    <t>Heraldic Hauberk</t>
  </si>
  <si>
    <t>Reinforced Footman's Armor</t>
  </si>
  <si>
    <t>Brigandine Harness</t>
  </si>
  <si>
    <t>Decayed Coat of Plates</t>
  </si>
  <si>
    <t>Breastplate Armor</t>
  </si>
  <si>
    <t>Heavy Lamellar Armor</t>
  </si>
  <si>
    <t>Padded Mail and Lamellar Hauberk</t>
  </si>
  <si>
    <t>Coat of Scales</t>
  </si>
  <si>
    <t>Coat of Plates</t>
  </si>
  <si>
    <t>Breastplate Harness</t>
  </si>
  <si>
    <t>Kastenbrust Plate Harness</t>
  </si>
  <si>
    <t>Foreign Plate Harness</t>
  </si>
  <si>
    <t>Heavy Plate Harness</t>
  </si>
  <si>
    <t>Mouthpiece</t>
  </si>
  <si>
    <t>Headscarf</t>
  </si>
  <si>
    <t>Hunter's Hat</t>
  </si>
  <si>
    <t>Leather Headband</t>
  </si>
  <si>
    <t>Engineer's Hat</t>
  </si>
  <si>
    <t>Gunner's Hat</t>
  </si>
  <si>
    <t>Jester's Hat</t>
  </si>
  <si>
    <t>Cultist Hood</t>
  </si>
  <si>
    <t>Undertaker's Hat</t>
  </si>
  <si>
    <t>Witchhunter's Hat</t>
  </si>
  <si>
    <t>Dark Cowl</t>
  </si>
  <si>
    <t>Assassin's Head Wrap</t>
  </si>
  <si>
    <t>Aketon Cap</t>
  </si>
  <si>
    <t>Open Leather Cap</t>
  </si>
  <si>
    <t>Leather Head Wrap</t>
  </si>
  <si>
    <t>Desert Stalker's Head Wrap</t>
  </si>
  <si>
    <t>Full Leather Cap</t>
  </si>
  <si>
    <t>Full Aketon Cap</t>
  </si>
  <si>
    <t>Nomad Leather Cap</t>
  </si>
  <si>
    <t>Bear Headpiece</t>
  </si>
  <si>
    <t>Blade Dancer's Head Wrap</t>
  </si>
  <si>
    <t>Cultist Leather Hood</t>
  </si>
  <si>
    <t>The Fangshire</t>
  </si>
  <si>
    <t>Nomad Light Helmet</t>
  </si>
  <si>
    <t>Rusty Mail Coif</t>
  </si>
  <si>
    <t>Mail Coif</t>
  </si>
  <si>
    <t>Physician's Mask</t>
  </si>
  <si>
    <t>Closed Mail Coif</t>
  </si>
  <si>
    <t>Scale Helmet</t>
  </si>
  <si>
    <t>Reinforced Mail Coif</t>
  </si>
  <si>
    <t>Nasal Helmet</t>
  </si>
  <si>
    <t>Wrapped Southern Helmet</t>
  </si>
  <si>
    <t>Leather Helmet</t>
  </si>
  <si>
    <t>Heavy Mail Coif</t>
  </si>
  <si>
    <t>Padded Dented Nasal Helmet</t>
  </si>
  <si>
    <t>Skull Cap</t>
  </si>
  <si>
    <t>Padded Scale Helmet</t>
  </si>
  <si>
    <t>Kettle Hat</t>
  </si>
  <si>
    <t>Open Faced Sallet Helmet (Sallet Helmet)</t>
  </si>
  <si>
    <t>Masked Kettle Helmet</t>
  </si>
  <si>
    <t>Flat Top Helmet</t>
  </si>
  <si>
    <t>Spiked Skull Cap with Mail</t>
  </si>
  <si>
    <t>Nomad Reinforced Helmet</t>
  </si>
  <si>
    <t>Skull Cap with Rondels</t>
  </si>
  <si>
    <t>Padded Nasal Helmet</t>
  </si>
  <si>
    <t>Beastmaster's Headpiece</t>
  </si>
  <si>
    <t>Nordic Helmet</t>
  </si>
  <si>
    <t>Assassin's Face Mask</t>
  </si>
  <si>
    <t>Padded Skull Cap</t>
  </si>
  <si>
    <t>Padded Kettle Hat</t>
  </si>
  <si>
    <t>Nasal Helmet with Rusty Mail</t>
  </si>
  <si>
    <t>Crude Metal Helmet</t>
  </si>
  <si>
    <t>Sallet Helmet</t>
  </si>
  <si>
    <t>Padded Flat Top Helmet</t>
  </si>
  <si>
    <t>Zweihander's Helmet</t>
  </si>
  <si>
    <t>Padded Skull Cap with Rondels</t>
  </si>
  <si>
    <t>Crude Faceguard Helmet</t>
  </si>
  <si>
    <t>Closed Flat Top Helmet</t>
  </si>
  <si>
    <t>Padded Sallet Helmet</t>
  </si>
  <si>
    <t>Closed and Padded Flat Top</t>
  </si>
  <si>
    <t>Ancient Honor Guard Helmet</t>
  </si>
  <si>
    <t>Barbute Helmet</t>
  </si>
  <si>
    <t>Closed Scrap Metal Helmet</t>
  </si>
  <si>
    <t>Half Closed Sallet</t>
  </si>
  <si>
    <t>Steppe Helmet with Mail</t>
  </si>
  <si>
    <t>Nasal Helmet with Mail</t>
  </si>
  <si>
    <t>Southern Helmet with Coif</t>
  </si>
  <si>
    <t>Skull Cap with Mail</t>
  </si>
  <si>
    <t>Bascinet with Mail</t>
  </si>
  <si>
    <t>Kettle Hat with Mail</t>
  </si>
  <si>
    <t>Conical Billed Helmet</t>
  </si>
  <si>
    <t>Gladiator Helmet</t>
  </si>
  <si>
    <t>Flat Top with Mail</t>
  </si>
  <si>
    <t>Decayed Closed Flat Top With Mail</t>
  </si>
  <si>
    <t>Covered Decayed Closed Flat Top With Mail</t>
  </si>
  <si>
    <t>Sallet Helmet with Mail</t>
  </si>
  <si>
    <t>Nasal Helmet with Closed Mail</t>
  </si>
  <si>
    <t>Decayed Full Helm</t>
  </si>
  <si>
    <t>Padded Conical Billed Helmet</t>
  </si>
  <si>
    <t>Kettle Hat with Closed Mail</t>
  </si>
  <si>
    <t>Heavy Lamellar Helmet</t>
  </si>
  <si>
    <t>Decayed Great Helm</t>
  </si>
  <si>
    <t>Adorned Closed Flat Top with Mail</t>
  </si>
  <si>
    <t>Closed Bascinet with Mail</t>
  </si>
  <si>
    <t>Flat Top with Closed Mail</t>
  </si>
  <si>
    <t>Nordic Helmet with Closed Mail</t>
  </si>
  <si>
    <t>Sallet Helmet with Bevor</t>
  </si>
  <si>
    <t>Conic Helmet with Closed Mail</t>
  </si>
  <si>
    <t>Closed Flat Top with Mail</t>
  </si>
  <si>
    <t>Half Closed Sallet with Mail</t>
  </si>
  <si>
    <t>Conic Helmet with Faceguard</t>
  </si>
  <si>
    <t>Turban Helmet</t>
  </si>
  <si>
    <t>Adorned Full Helm</t>
  </si>
  <si>
    <t>Visored Bascinet</t>
  </si>
  <si>
    <t>Half Closed Sallet with Bevor</t>
  </si>
  <si>
    <t>Decorated Full Helm</t>
  </si>
  <si>
    <t>Snubnose Bascinet with Mail</t>
  </si>
  <si>
    <t>Hounskull Bascinet with Mail</t>
  </si>
  <si>
    <t>Great Helm</t>
  </si>
  <si>
    <t>Ancient Mail</t>
  </si>
  <si>
    <t>Ancient Double Layer Mail</t>
  </si>
  <si>
    <t>Ancient Scale Harness</t>
  </si>
  <si>
    <t>Ancient Breastplate</t>
  </si>
  <si>
    <t>Ancient Plated Mail Hauberk</t>
  </si>
  <si>
    <t>Ancient Scale Coat</t>
  </si>
  <si>
    <t>Ancient Plate Harness</t>
  </si>
  <si>
    <t>Ancient Plated Scale Hauberk</t>
  </si>
  <si>
    <t>古代亡灵甲</t>
    <phoneticPr fontId="26" type="noConversion"/>
  </si>
  <si>
    <t>耐久度</t>
    <phoneticPr fontId="26" type="noConversion"/>
  </si>
  <si>
    <t>疲劳上限</t>
    <phoneticPr fontId="26" type="noConversion"/>
  </si>
  <si>
    <r>
      <rPr>
        <b/>
        <sz val="11"/>
        <color rgb="FF000000"/>
        <rFont val="宋体"/>
        <family val="3"/>
        <charset val="134"/>
      </rPr>
      <t>耐</t>
    </r>
    <r>
      <rPr>
        <b/>
        <sz val="11"/>
        <color rgb="FF000000"/>
        <rFont val="Calibri"/>
        <family val="2"/>
      </rPr>
      <t>/</t>
    </r>
    <r>
      <rPr>
        <b/>
        <sz val="11"/>
        <color rgb="FF000000"/>
        <rFont val="宋体"/>
        <family val="3"/>
        <charset val="134"/>
      </rPr>
      <t>疲</t>
    </r>
    <phoneticPr fontId="26" type="noConversion"/>
  </si>
  <si>
    <t>古代亡灵盔</t>
    <phoneticPr fontId="26" type="noConversion"/>
  </si>
  <si>
    <t>头盔名</t>
    <phoneticPr fontId="26" type="noConversion"/>
  </si>
  <si>
    <t>价值</t>
    <phoneticPr fontId="26" type="noConversion"/>
  </si>
  <si>
    <t>视野</t>
    <phoneticPr fontId="26" type="noConversion"/>
  </si>
  <si>
    <t>盔甲名</t>
    <phoneticPr fontId="26" type="noConversion"/>
  </si>
  <si>
    <t>耐久</t>
    <phoneticPr fontId="26" type="noConversion"/>
  </si>
  <si>
    <t>武器文件名</t>
    <phoneticPr fontId="26" type="noConversion"/>
  </si>
  <si>
    <t>武器类型</t>
    <phoneticPr fontId="26" type="noConversion"/>
  </si>
  <si>
    <t>持握手</t>
    <phoneticPr fontId="26" type="noConversion"/>
  </si>
  <si>
    <t>最小伤害</t>
    <phoneticPr fontId="26" type="noConversion"/>
  </si>
  <si>
    <t>最大伤害</t>
    <phoneticPr fontId="26" type="noConversion"/>
  </si>
  <si>
    <t>破</t>
    <phoneticPr fontId="26" type="noConversion"/>
  </si>
  <si>
    <t>穿</t>
    <phoneticPr fontId="26" type="noConversion"/>
  </si>
  <si>
    <t>耐久上限</t>
    <phoneticPr fontId="26" type="noConversion"/>
  </si>
  <si>
    <t>爆头率</t>
    <phoneticPr fontId="26" type="noConversion"/>
  </si>
  <si>
    <t>盾牌伤害</t>
    <phoneticPr fontId="26" type="noConversion"/>
  </si>
  <si>
    <t>最短攻击范围</t>
    <phoneticPr fontId="26" type="noConversion"/>
  </si>
  <si>
    <t>理想攻击范围</t>
    <phoneticPr fontId="26" type="noConversion"/>
  </si>
  <si>
    <t>命中加值</t>
    <phoneticPr fontId="26" type="noConversion"/>
  </si>
  <si>
    <t>技能额外疲劳</t>
    <phoneticPr fontId="26" type="noConversion"/>
  </si>
  <si>
    <t>触及</t>
    <phoneticPr fontId="26" type="noConversion"/>
  </si>
  <si>
    <t>双手持握加成</t>
    <phoneticPr fontId="26" type="noConversion"/>
  </si>
  <si>
    <t>技能</t>
    <phoneticPr fontId="26" type="noConversion"/>
  </si>
  <si>
    <r>
      <rPr>
        <sz val="11"/>
        <color theme="1"/>
        <rFont val="宋体"/>
        <family val="3"/>
        <charset val="134"/>
      </rPr>
      <t>斧</t>
    </r>
    <r>
      <rPr>
        <sz val="11"/>
        <color theme="1"/>
        <rFont val="Calibri"/>
        <family val="2"/>
      </rPr>
      <t xml:space="preserve">
+15%</t>
    </r>
    <r>
      <rPr>
        <sz val="11"/>
        <color theme="1"/>
        <rFont val="宋体"/>
        <family val="3"/>
        <charset val="134"/>
      </rPr>
      <t>伤害</t>
    </r>
    <r>
      <rPr>
        <sz val="11"/>
        <color theme="1"/>
        <rFont val="Calibri"/>
        <family val="2"/>
      </rPr>
      <t xml:space="preserve">
+15%</t>
    </r>
    <r>
      <rPr>
        <sz val="11"/>
        <color theme="1"/>
        <rFont val="宋体"/>
        <family val="3"/>
        <charset val="134"/>
      </rPr>
      <t>穿甲</t>
    </r>
    <phoneticPr fontId="26" type="noConversion"/>
  </si>
  <si>
    <t>斧</t>
    <phoneticPr fontId="26" type="noConversion"/>
  </si>
  <si>
    <r>
      <rPr>
        <sz val="11"/>
        <color theme="1"/>
        <rFont val="宋体"/>
        <family val="2"/>
        <charset val="134"/>
      </rPr>
      <t>砍刀</t>
    </r>
    <r>
      <rPr>
        <sz val="11"/>
        <color theme="1"/>
        <rFont val="Calibri"/>
        <family val="2"/>
      </rPr>
      <t xml:space="preserve">
+30%</t>
    </r>
    <r>
      <rPr>
        <sz val="11"/>
        <color theme="1"/>
        <rFont val="宋体"/>
        <family val="2"/>
        <charset val="134"/>
      </rPr>
      <t>伤害</t>
    </r>
    <phoneticPr fontId="26" type="noConversion"/>
  </si>
  <si>
    <r>
      <rPr>
        <sz val="11"/>
        <color theme="1"/>
        <rFont val="宋体"/>
        <family val="3"/>
        <charset val="134"/>
      </rPr>
      <t>匕首</t>
    </r>
    <r>
      <rPr>
        <sz val="11"/>
        <color theme="1"/>
        <rFont val="Calibri"/>
        <family val="2"/>
      </rPr>
      <t xml:space="preserve">
+20%</t>
    </r>
    <r>
      <rPr>
        <sz val="11"/>
        <color theme="1"/>
        <rFont val="宋体"/>
        <family val="3"/>
        <charset val="134"/>
      </rPr>
      <t>伤害</t>
    </r>
    <r>
      <rPr>
        <sz val="11"/>
        <color theme="1"/>
        <rFont val="Calibri"/>
        <family val="2"/>
      </rPr>
      <t xml:space="preserve">
</t>
    </r>
    <r>
      <rPr>
        <sz val="11"/>
        <color theme="1"/>
        <rFont val="宋体"/>
        <family val="3"/>
        <charset val="134"/>
      </rPr>
      <t>防御时，若本轮中敌人在你之后行动，获得主动值</t>
    </r>
    <r>
      <rPr>
        <sz val="11"/>
        <color theme="1"/>
        <rFont val="Calibri"/>
        <family val="2"/>
      </rPr>
      <t>10%</t>
    </r>
    <r>
      <rPr>
        <sz val="11"/>
        <color theme="1"/>
        <rFont val="宋体"/>
        <family val="3"/>
        <charset val="134"/>
      </rPr>
      <t>双防。</t>
    </r>
    <phoneticPr fontId="26" type="noConversion"/>
  </si>
  <si>
    <r>
      <rPr>
        <sz val="11"/>
        <color theme="1"/>
        <rFont val="宋体"/>
        <family val="3"/>
        <charset val="134"/>
      </rPr>
      <t>链枷</t>
    </r>
    <r>
      <rPr>
        <sz val="11"/>
        <color theme="1"/>
        <rFont val="Calibri"/>
        <family val="2"/>
      </rPr>
      <t xml:space="preserve">
+10%</t>
    </r>
    <r>
      <rPr>
        <sz val="11"/>
        <color theme="1"/>
        <rFont val="宋体"/>
        <family val="3"/>
        <charset val="134"/>
      </rPr>
      <t>爆头率</t>
    </r>
    <r>
      <rPr>
        <sz val="11"/>
        <color theme="1"/>
        <rFont val="Calibri"/>
        <family val="2"/>
      </rPr>
      <t xml:space="preserve">
+20%</t>
    </r>
    <r>
      <rPr>
        <sz val="11"/>
        <color theme="1"/>
        <rFont val="宋体"/>
        <family val="3"/>
        <charset val="134"/>
      </rPr>
      <t>穿甲</t>
    </r>
    <phoneticPr fontId="26" type="noConversion"/>
  </si>
  <si>
    <r>
      <rPr>
        <sz val="11"/>
        <color theme="1"/>
        <rFont val="宋体"/>
        <family val="3"/>
        <charset val="134"/>
      </rPr>
      <t>锤</t>
    </r>
    <r>
      <rPr>
        <sz val="11"/>
        <color theme="1"/>
        <rFont val="Calibri"/>
        <family val="2"/>
      </rPr>
      <t xml:space="preserve">
+25%</t>
    </r>
    <r>
      <rPr>
        <sz val="11"/>
        <color theme="1"/>
        <rFont val="宋体"/>
        <family val="3"/>
        <charset val="134"/>
      </rPr>
      <t>伤害</t>
    </r>
    <r>
      <rPr>
        <sz val="11"/>
        <color theme="1"/>
        <rFont val="Calibri"/>
        <family val="2"/>
      </rPr>
      <t xml:space="preserve">
-25%</t>
    </r>
    <r>
      <rPr>
        <sz val="11"/>
        <color theme="1"/>
        <rFont val="宋体"/>
        <family val="3"/>
        <charset val="134"/>
      </rPr>
      <t>锤技能疲劳积累</t>
    </r>
    <phoneticPr fontId="26" type="noConversion"/>
  </si>
  <si>
    <r>
      <rPr>
        <sz val="11"/>
        <color theme="1"/>
        <rFont val="宋体"/>
        <family val="3"/>
        <charset val="134"/>
      </rPr>
      <t>骨朵</t>
    </r>
    <r>
      <rPr>
        <sz val="11"/>
        <color theme="1"/>
        <rFont val="Calibri"/>
        <family val="2"/>
      </rPr>
      <t xml:space="preserve">
+15%</t>
    </r>
    <r>
      <rPr>
        <sz val="11"/>
        <color theme="1"/>
        <rFont val="宋体"/>
        <family val="3"/>
        <charset val="134"/>
      </rPr>
      <t>伤害</t>
    </r>
    <r>
      <rPr>
        <sz val="11"/>
        <color theme="1"/>
        <rFont val="Calibri"/>
        <family val="2"/>
      </rPr>
      <t xml:space="preserve">
</t>
    </r>
    <r>
      <rPr>
        <sz val="11"/>
        <color theme="1"/>
        <rFont val="宋体"/>
        <family val="3"/>
        <charset val="134"/>
      </rPr>
      <t>攻击造成茫然</t>
    </r>
    <phoneticPr fontId="26" type="noConversion"/>
  </si>
  <si>
    <r>
      <rPr>
        <sz val="11"/>
        <color theme="1"/>
        <rFont val="宋体"/>
        <family val="3"/>
        <charset val="134"/>
      </rPr>
      <t>矛</t>
    </r>
    <r>
      <rPr>
        <sz val="11"/>
        <color theme="1"/>
        <rFont val="Calibri"/>
        <family val="2"/>
      </rPr>
      <t xml:space="preserve">
+1</t>
    </r>
    <r>
      <rPr>
        <sz val="11"/>
        <color theme="1"/>
        <rFont val="宋体"/>
        <family val="3"/>
        <charset val="134"/>
      </rPr>
      <t>触及</t>
    </r>
    <r>
      <rPr>
        <sz val="11"/>
        <color theme="1"/>
        <rFont val="Calibri"/>
        <family val="2"/>
      </rPr>
      <t xml:space="preserve">
+10%</t>
    </r>
    <r>
      <rPr>
        <sz val="11"/>
        <color theme="1"/>
        <rFont val="宋体"/>
        <family val="3"/>
        <charset val="134"/>
      </rPr>
      <t>伤害</t>
    </r>
    <r>
      <rPr>
        <sz val="11"/>
        <color theme="1"/>
        <rFont val="Calibri"/>
        <family val="2"/>
      </rPr>
      <t xml:space="preserve">
+10%</t>
    </r>
    <r>
      <rPr>
        <sz val="11"/>
        <color theme="1"/>
        <rFont val="宋体"/>
        <family val="3"/>
        <charset val="134"/>
      </rPr>
      <t>穿甲</t>
    </r>
    <r>
      <rPr>
        <sz val="11"/>
        <color theme="1"/>
        <rFont val="Calibri"/>
        <family val="2"/>
      </rPr>
      <t xml:space="preserve">
</t>
    </r>
    <phoneticPr fontId="26" type="noConversion"/>
  </si>
  <si>
    <r>
      <rPr>
        <sz val="11"/>
        <color theme="1"/>
        <rFont val="宋体"/>
        <family val="3"/>
        <charset val="134"/>
      </rPr>
      <t>剑</t>
    </r>
    <r>
      <rPr>
        <sz val="11"/>
        <color theme="1"/>
        <rFont val="Calibri"/>
        <family val="2"/>
      </rPr>
      <t xml:space="preserve">
+10%</t>
    </r>
    <r>
      <rPr>
        <sz val="11"/>
        <color theme="1"/>
        <rFont val="宋体"/>
        <family val="3"/>
        <charset val="134"/>
      </rPr>
      <t>伤害</t>
    </r>
    <r>
      <rPr>
        <sz val="11"/>
        <color theme="1"/>
        <rFont val="Calibri"/>
        <family val="2"/>
      </rPr>
      <t xml:space="preserve">
+20%</t>
    </r>
    <r>
      <rPr>
        <sz val="11"/>
        <color theme="1"/>
        <rFont val="宋体"/>
        <family val="3"/>
        <charset val="134"/>
      </rPr>
      <t>穿甲</t>
    </r>
    <r>
      <rPr>
        <sz val="11"/>
        <color theme="1"/>
        <rFont val="Calibri"/>
        <family val="2"/>
      </rPr>
      <t xml:space="preserve">
-33%</t>
    </r>
    <r>
      <rPr>
        <sz val="11"/>
        <color theme="1"/>
        <rFont val="宋体"/>
        <family val="3"/>
        <charset val="134"/>
      </rPr>
      <t>剑技能疲劳积累</t>
    </r>
    <phoneticPr fontId="26" type="noConversion"/>
  </si>
  <si>
    <r>
      <rPr>
        <sz val="11"/>
        <color rgb="FF000000"/>
        <rFont val="宋体"/>
        <family val="3"/>
        <charset val="134"/>
      </rPr>
      <t>刺剑</t>
    </r>
    <r>
      <rPr>
        <sz val="11"/>
        <color rgb="FF000000"/>
        <rFont val="Calibri"/>
        <family val="2"/>
      </rPr>
      <t xml:space="preserve">
+25%</t>
    </r>
    <r>
      <rPr>
        <sz val="11"/>
        <color rgb="FF000000"/>
        <rFont val="宋体"/>
        <family val="3"/>
        <charset val="134"/>
      </rPr>
      <t>穿甲</t>
    </r>
    <phoneticPr fontId="26" type="noConversion"/>
  </si>
  <si>
    <r>
      <rPr>
        <sz val="11"/>
        <color theme="1"/>
        <rFont val="宋体"/>
        <family val="3"/>
        <charset val="134"/>
      </rPr>
      <t>南方剑</t>
    </r>
    <r>
      <rPr>
        <sz val="11"/>
        <color theme="1"/>
        <rFont val="Calibri"/>
        <family val="2"/>
      </rPr>
      <t xml:space="preserve">
+25%</t>
    </r>
    <r>
      <rPr>
        <sz val="11"/>
        <color theme="1"/>
        <rFont val="宋体"/>
        <family val="3"/>
        <charset val="134"/>
      </rPr>
      <t>伤害</t>
    </r>
    <phoneticPr fontId="26" type="noConversion"/>
  </si>
  <si>
    <t>嵌入提示</t>
    <phoneticPr fontId="26" type="noConversion"/>
  </si>
  <si>
    <t>动态特技树</t>
    <phoneticPr fontId="26" type="noConversion"/>
  </si>
  <si>
    <t>触及距离</t>
    <phoneticPr fontId="26" type="noConversion"/>
  </si>
  <si>
    <t>盾牌</t>
    <phoneticPr fontId="26" type="noConversion"/>
  </si>
  <si>
    <t>老兵特技</t>
    <phoneticPr fontId="26" type="noConversion"/>
  </si>
  <si>
    <t>首轮主动</t>
    <phoneticPr fontId="26" type="noConversion"/>
  </si>
  <si>
    <t>武器精通</t>
    <phoneticPr fontId="26" type="noConversion"/>
  </si>
  <si>
    <t>流血重做</t>
    <phoneticPr fontId="26" type="noConversion"/>
  </si>
  <si>
    <t>累赘度</t>
    <phoneticPr fontId="26" type="noConversion"/>
  </si>
  <si>
    <t>敌人</t>
    <phoneticPr fontId="26" type="noConversion"/>
  </si>
  <si>
    <t>武器</t>
    <phoneticPr fontId="26" type="noConversion"/>
  </si>
  <si>
    <t>刺剑</t>
    <phoneticPr fontId="26" type="noConversion"/>
  </si>
  <si>
    <t>经验和击杀者</t>
    <phoneticPr fontId="26" type="noConversion"/>
  </si>
  <si>
    <t>伤残</t>
    <phoneticPr fontId="26" type="noConversion"/>
  </si>
  <si>
    <t>其他</t>
    <phoneticPr fontId="26" type="noConversion"/>
  </si>
  <si>
    <t>特技组</t>
  </si>
  <si>
    <t>Promised Potential
Upon reaching level 11, this perk has a 50% chance of being replaced with Realized Potential which will double this character's salary, increase all attributes by +15, add 1 Shared and 2 Weapon 特技组s and refund all Perk Points, including the one spent on this Perk.
If unsuccessful, this perk is replaced by Failed Potential which does nothing.</t>
  </si>
  <si>
    <t>Professional
Gain the first two perks in a random melee 特技组 that you have access to.
Does not refund already spend perk points.</t>
  </si>
  <si>
    <t>第一层</t>
  </si>
  <si>
    <t>第二层</t>
  </si>
  <si>
    <t>第三层</t>
  </si>
  <si>
    <t>第四层</t>
  </si>
  <si>
    <t>第五层</t>
  </si>
  <si>
    <t>第六层</t>
  </si>
  <si>
    <t>第七层</t>
  </si>
  <si>
    <t>角色拥有动态生成的特技树。</t>
    <phoneticPr fontId="26" type="noConversion"/>
  </si>
  <si>
    <t>特技分布在不同的特技组中。</t>
    <phoneticPr fontId="26" type="noConversion"/>
  </si>
  <si>
    <t>特技名称</t>
  </si>
  <si>
    <t>描述</t>
  </si>
  <si>
    <t>层级</t>
  </si>
  <si>
    <t>斧</t>
  </si>
  <si>
    <t>弓</t>
  </si>
  <si>
    <t>弓</t>
    <phoneticPr fontId="26" type="noConversion"/>
  </si>
  <si>
    <t>砍刀</t>
  </si>
  <si>
    <t>砍刀</t>
    <phoneticPr fontId="26" type="noConversion"/>
  </si>
  <si>
    <t>Dismantle (requires 斧 and Cutting Damage)
Every successful hit has a chance to apply the Dismantled Armor effect, which causes the target to receive a stacking +20% damage received ignoring armor on the body part hit for the remainder of the combat.
The chance is equal to the ratio of armor damage inflicted to remaining armor on the body part hit.</t>
  </si>
  <si>
    <t>Woodcutters 斧</t>
  </si>
  <si>
    <t>斧, +</t>
  </si>
  <si>
    <t>Pick斧</t>
  </si>
  <si>
    <t>Goedendag
2 Woodcutters 斧</t>
  </si>
  <si>
    <t>Pole斧:
  Guard's Repel</t>
  </si>
  <si>
    <t>crude_斧</t>
  </si>
  <si>
    <t>hand_斧</t>
  </si>
  <si>
    <t>fighting_斧</t>
  </si>
  <si>
    <t>orc_斧</t>
  </si>
  <si>
    <t>woodcutters_斧</t>
  </si>
  <si>
    <t>rf_battle斧</t>
  </si>
  <si>
    <t>split_斧</t>
  </si>
  <si>
    <t>long斧</t>
  </si>
  <si>
    <t>rf_pole斧</t>
  </si>
  <si>
    <t>heavy_rusty_斧</t>
  </si>
  <si>
    <t>great斧</t>
  </si>
  <si>
    <t>orc_斧_2h</t>
  </si>
  <si>
    <t>pick斧</t>
  </si>
  <si>
    <t>throw_斧</t>
  </si>
  <si>
    <t>弩</t>
  </si>
  <si>
    <t>Power Shot (requires 弩 or Firearm)
Attacks from 弩s and Firearms have a 50% chance to inflict Staggered for one turn.</t>
  </si>
  <si>
    <t>Iron Sights (requires 弩 or Firearm)
弩s and Firearms gain an additional +25% chance to hit the head.
Headshots from firearms apply the Shellshocked effect except on characters that ignore morale.</t>
  </si>
  <si>
    <t>弩, +</t>
  </si>
  <si>
    <t>1.1 Target Attraction Mult
Bullseye
Rotation
Through the Ranks
T4 弩</t>
  </si>
  <si>
    <t>light_弩</t>
  </si>
  <si>
    <t>heavy_弩</t>
  </si>
  <si>
    <t>goblin_弩</t>
  </si>
  <si>
    <t>Target Practice (requires 弓)
Ranged attacks gain +10% chance to hit against enemies wielding ranged weapons or enemies not in cover.</t>
  </si>
  <si>
    <t>弓yer_background</t>
  </si>
  <si>
    <t>弓, +</t>
  </si>
  <si>
    <t>Short 弓
Hunting 弓
Quiver of Arrows</t>
  </si>
  <si>
    <t>Nomad Sling
Composite 弓
  Quiver of Arrows</t>
  </si>
  <si>
    <t>Ragtag but versatile, Bandits use a wide variety of equipment and vary greatly depending on it. Quick knaves, brawny brutes, throwers, 弓men and even some smart enough to actually use a shield.
While generally disorganized, things change when one of them is mean enough or has a silver enough tongue that the rest will listen. With direction and discipline, even self-interested bullies and thieves such as these can become a force to be reckoned with.</t>
  </si>
  <si>
    <t>Short 弓/Quiver of Arrows
Staff Sling
Knife
Wooden Stick</t>
  </si>
  <si>
    <t>Target Attraction Mult 1.1
Vision 8
弓/弩 Spec
Brawny
Bullseye
Quick Hands
Rotation
Footwork
Recover
Weapon T7</t>
  </si>
  <si>
    <t>Goblin 弓
Quiver of Arrows
Goblin Notched Blade</t>
  </si>
  <si>
    <t>1.1 Target Attraction Mult
弓 Spec
+5 RangedSkill (Day 30+)
+5 RangedDefense (Day 60+)
Rotation
Recover
Relentless
Pathfinder
Bullseye (Day 20+)
Headhunter (Day 60+)
T4 弓</t>
  </si>
  <si>
    <t>goblin_弓</t>
  </si>
  <si>
    <t>wonky_弓</t>
  </si>
  <si>
    <t>short_弓</t>
  </si>
  <si>
    <t>goblin_heavy_弓</t>
  </si>
  <si>
    <t>composite_弓</t>
  </si>
  <si>
    <t>hunting_弓</t>
  </si>
  <si>
    <t>war_弓</t>
  </si>
  <si>
    <t>masterwork_弓</t>
  </si>
  <si>
    <t>Sanguinary (requires 砍刀)
The first 2 fatalities during your turn instantly restore 3 Action Points each.
Can only trigger once per attack.</t>
  </si>
  <si>
    <t>Mauler (requires 砍刀 and Cutting attack)
Attacks from 砍刀s apply an additional stack of Bleeding on the target.
When attacking a target which already has at least 3 stacks of Bleeding, you have a 33% chance to apply an injury. If the attack already applied an injury, this applies an additional injury.</t>
  </si>
  <si>
    <t>砍刀
T1: Crippling Strikes
T4: 砍刀精通
T6: Mauler</t>
  </si>
  <si>
    <t>砍刀, +</t>
  </si>
  <si>
    <t>Khopesh
Crypt 砍刀
Rhomphaia
Tower Shield</t>
  </si>
  <si>
    <t>Great Khopesh
IF MINIBOSS
  Named Crypt 砍刀</t>
  </si>
  <si>
    <t>Khopesh
Crypt 砍刀
Rhomphaia
Tower Shield
MINIBOSS:
Named Crypt 砍刀
Named Khopesh</t>
  </si>
  <si>
    <t>Named Crypt 砍刀
Tower Shield (if null)</t>
  </si>
  <si>
    <t>skeleton
Disarm Immune
砍刀 Spec
Crippling Strikes
Exploit Opening
Formidable Approach
Resilient
Emperor's Command</t>
  </si>
  <si>
    <t>Antler 砍刀
Claw Club
Drum</t>
  </si>
  <si>
    <t>Knife
Pitchfork
Wooden Stick
Pick斧
Wooden Stick
Butcher's 砍刀 5</t>
  </si>
  <si>
    <t>butchers_砍刀</t>
  </si>
  <si>
    <t>antler_砍刀</t>
  </si>
  <si>
    <t>blunt_砍刀</t>
  </si>
  <si>
    <t>military_砍刀</t>
  </si>
  <si>
    <t>orc_砍刀</t>
  </si>
  <si>
    <t>crypt_砍刀</t>
  </si>
  <si>
    <t>匕首</t>
  </si>
  <si>
    <t>Between the Ribs (Requires 匕首 and Piercing Attack)
Attacks against surrounded targets deal 10% more damage and have 10% more armor penetration per ally surrounding the target.</t>
  </si>
  <si>
    <t>Swift Stabs (requires Non-Hybrid Mainhand 匕首)
A successful attack with your mainhand 匕首 reduces the Action Point cost of all its skills by 2 to a minimum of 2 for the remainder of this turn.
The effect expires upon missing an attack, switching your weapon, switching the target, killing the target, or using any skill that is not a 匕首 attack.</t>
  </si>
  <si>
    <t>skeleton
Crippling Strikes
Exploit Opening
Phalanx
Rotation
T4 匕首, Tempo
Decanus Command</t>
  </si>
  <si>
    <t xml:space="preserve">Short 弓/Quiver
Hunting 弓/Quiver
Light 弩/Quiver
弩/Quiver
匕首
</t>
  </si>
  <si>
    <t>弓man 50%
  Hunting 弓/Quiver
弩man 50%
  弩/Quiver
匕首</t>
  </si>
  <si>
    <t>弓man 50%
  Hunting 弓/Quiver
弩man 50%
  弩/Quiver
Rondel 匕首</t>
  </si>
  <si>
    <t>Target Attraction Mult 1.1
Bullseye
Bully
匕首精通
Footwork
Pathfinder
T7 Weapon
and
弓: Crippling Strikes, -Flaming Arrows</t>
  </si>
  <si>
    <t>Hunting 弓
  Quiver of Arrows
弩
  Quiver of Bolts
匕首
Scramasax
Hatchet
Bludgeon</t>
  </si>
  <si>
    <t>Hunting 弓
  Quiver of Arrows
War 弓
  Quiver of Arrows
弩
  Quiver of Bolts
匕首
Scramasax
Hatchet
Bludgeon</t>
  </si>
  <si>
    <t>Short 弓
Quiver of Arrows
匕首
Knife
Hatchet
Bludgeon</t>
  </si>
  <si>
    <t>弩
Quiver of Bolts
Melee 100%
  匕首</t>
  </si>
  <si>
    <t>Heavy 弩
Quiver of Bolts
Melee 100%
  Rondel 匕首</t>
  </si>
  <si>
    <t>Qatal 匕首
Shamshir</t>
  </si>
  <si>
    <t>rondel_匕首</t>
  </si>
  <si>
    <t>obsidian_匕首</t>
  </si>
  <si>
    <t>qatal_匕首</t>
  </si>
  <si>
    <t>链枷</t>
  </si>
  <si>
    <t>Whirling Death (requires 链枷)
Every attack with 链枷s increases your current Reach by +1 until your next turn.
With two-handed 链枷s, when attacking a target who has lower current Reach than you, gain +10% chance to hit the head per difference in current Reach between you and the target.
During your turn when attacking with one-handed 链枷s, perform a free extra attack with 50% less damage against a different adjacent enemy who has lower current Reach than you. This extra attack does not increase your Reach.
Does not take into account abilities which ignore or modify Reach during an attack.</t>
  </si>
  <si>
    <t>链枷 Spinner (requires 链枷)
During your turn, attacks have a 50% chance to perform a free extra attack of the same type with 50% reduced damage.</t>
  </si>
  <si>
    <t>匕首
Reinforced Wooden 链枷
Scramasax</t>
  </si>
  <si>
    <t>Billhook
Pike
Pole链枷</t>
  </si>
  <si>
    <t>Orc 斧
Orc 砍刀
Orc 链枷 2h
Orc 斧 2h</t>
  </si>
  <si>
    <t>wooden_链枷</t>
  </si>
  <si>
    <t>reinforced_wooden_链枷</t>
  </si>
  <si>
    <t>rf_reinforced_wooden_pole链枷</t>
  </si>
  <si>
    <t>three_headed_链枷</t>
  </si>
  <si>
    <t>two_handed_wooden_链枷</t>
  </si>
  <si>
    <t>rf_pole链枷</t>
  </si>
  <si>
    <t>two_handed_链枷</t>
  </si>
  <si>
    <t>poe链枷_链枷</t>
  </si>
  <si>
    <t>orc_链枷_2h</t>
  </si>
  <si>
    <t>pole链枷_lash</t>
  </si>
  <si>
    <t>锤</t>
  </si>
  <si>
    <t>Rattle (requires 锤 and Blunt Attack)
On a successful attack, apply the Rattled effect for 1 turn, reducing the target's reach by -2.
Does not work against targets immune to Stun or Daze.</t>
  </si>
  <si>
    <t>斧锤
Blunt 砍刀
Crude 斧</t>
  </si>
  <si>
    <t>Two Handed Wooden 锤</t>
  </si>
  <si>
    <t>锤, +</t>
  </si>
  <si>
    <t>Two Handed 锤</t>
  </si>
  <si>
    <t>Well-trained and well-equipped, noble soldiers are capable of fighting both individually or as a mixed-unit force. Footmen and Billmen are the most common troops and are backed up by arbalesters and standard bearers. Specialist Men at Arms, Zweihanders and Fencers bring unique equipment and skills, strongly complimenting the regulars they support. Battlefield Sergeants and Marshals bark orders that are faultlessly followed, while heroic Knights with their squires can be a 锤 or an anvil to the opposition. The strongest of companies are led by Heralds of their leige, protected by brave and deadly Royal Guards.</t>
  </si>
  <si>
    <t>Halberd
Pole锤
Voulge</t>
  </si>
  <si>
    <t>斧锤</t>
  </si>
  <si>
    <t>斧 / 锤</t>
  </si>
  <si>
    <t>war锤</t>
  </si>
  <si>
    <t>two_handed_wooden_锤</t>
  </si>
  <si>
    <t>skull_锤</t>
  </si>
  <si>
    <t>pole锤</t>
  </si>
  <si>
    <t>two_handed_锤</t>
  </si>
  <si>
    <t>骨朵</t>
  </si>
  <si>
    <t>Concussive Strikes (requires 骨朵 and Blunt Attack)
Hits to the head with one-handed 骨朵s apply Dazed for 1 turn and if the target is already Dazed, apply Stunned for one turn instead. 
Hits to the head with two-handed 骨朵s apply the Stunned for 1 turn.</t>
  </si>
  <si>
    <t>Zweihander
Great斧
Two Handed Flanged 骨朵</t>
  </si>
  <si>
    <t>Goedendag
Two Handed 骨朵
Two Handed Wooden 链枷  
Two Handed Wooden 锤
Woodcutters 斧</t>
  </si>
  <si>
    <t>BeastSmall +1
Bleed Immune
Poison Immune
Stun Immune
Fire Immune
Night Immune
Injury Immune
golem_racial
Pathfinder
Crippling Strikes
Steel Brow
Resilient
Bullseye
Concussive Strikes (Bypass 骨朵)</t>
  </si>
  <si>
    <t>Composite 弓
Quiver of Arrows
Knife
Wooden Stick
Nomad 骨朵
Saif</t>
  </si>
  <si>
    <t xml:space="preserve">Light Southern 骨朵
Saif
Scimitar
Firelance 2
Shield 90%
  Southern Light Shield
</t>
  </si>
  <si>
    <t>Handgonne
Powder Bag
Light Southern 骨朵
Saif</t>
  </si>
  <si>
    <t>Shamshir
Heavy Southern 骨朵
Two Handed Scimitar
Metal Round Shield</t>
  </si>
  <si>
    <t>Shamshir
Heavy Southern 骨朵
Two Handed Scimitar</t>
  </si>
  <si>
    <t>nomad_骨朵</t>
  </si>
  <si>
    <t>light_southern_骨朵</t>
  </si>
  <si>
    <t>heavy_southern_骨朵</t>
  </si>
  <si>
    <t>winged_骨朵</t>
  </si>
  <si>
    <t>two_handed_spiked_骨朵</t>
  </si>
  <si>
    <t>two_handed_骨朵</t>
  </si>
  <si>
    <t>pole骨朵</t>
  </si>
  <si>
    <t>two_handed_flanged_骨朵</t>
  </si>
  <si>
    <t>长柄精通</t>
  </si>
  <si>
    <t>长柄</t>
  </si>
  <si>
    <t>Long Reach (requires 长柄)
Enemies within 2 tiles are considered surrounded by you for the purposes of hit-chance bonus for any allies attacking that target.</t>
  </si>
  <si>
    <t>rf_skeleton_light_elite_长柄</t>
  </si>
  <si>
    <t>skeleton_medium_长柄</t>
  </si>
  <si>
    <t>rf_skeleton_medium_elite_长柄</t>
  </si>
  <si>
    <t>Bully
Dodge
Relentless
Quick Hands
匕首:  Backstabber, Overwhelm
else
  长柄: T4
else
T3 Weapon</t>
  </si>
  <si>
    <t>Bully
Quick Hands
Rotation
1h: Devastating Strikes
2h Duelist: Duelist
T7 Weapon
and
Long斧: 长柄精通, Formidable Approach
Pole锤: 长柄精通, Formidable Approach
If Shield:
Shield Expert</t>
  </si>
  <si>
    <t>Battleforged
Follow Up
Rotation
Skirmisher
长柄: Executioner, 长柄精通, Long Reach
锤: T7, 长柄精通
砍刀: T7, 长柄精通</t>
  </si>
  <si>
    <t>conscript_长柄</t>
  </si>
  <si>
    <t>Kick: Stagger and perform a free basic attack against a targeted adjacent enemy. If the attack is successful, the target is pushed back a tile and loses the Shieldwall, 矛wall and Riposte effects.
Cost: 6 AP 15 Fat
Push Through: Stagger and perform a free basic attack against a targeted adjacent enemy. If the attack is successful, automatically use Line Breaker for free on the target.
Cost: 6 AP 15 Fat
Tackle: Perform a free basic attack against a targeted adjacent enemy. If the attack is successful, stun and exchange positions with the target.
Cost: 6 AP 15 Fat</t>
  </si>
  <si>
    <t>矛</t>
  </si>
  <si>
    <t>Through the Gaps (requires 矛 and Piercing Attack)
The first attack each turn ignores 10% of the target's armor and always targets the body part with the lower armor.</t>
  </si>
  <si>
    <t>King of all Weapons (requires 矛)
The action point cost of 矛 attacks is reduced by 1. 
During your turn, the first attack from a 矛 deals 25% more damage.</t>
  </si>
  <si>
    <t>Wooden Stick
Hatchet
Orc Wooden Club
Orc Metal Club
Boar 矛
Woodcutters 斧
Two Handed Wooden 锤
Two Handed Wooden 链枷</t>
  </si>
  <si>
    <t xml:space="preserve">Goblin Falchion
Goblin Notched Blade
Goblin 矛
Goblin Pike
Goblin Bolas 33%
Net 50%
else
  Goblin Light Shield
  Goblin Heavy Shield </t>
  </si>
  <si>
    <t>Saif 2
Nomad 骨朵 2
Wooden Stick
Militia 矛 2
Bludgeon
Butcher's 砍刀
Shield 35%
  Southern Light Shield</t>
  </si>
  <si>
    <t>Battle Whip
Boar 矛
Light Southern 骨朵
Nomad 骨朵
Scimitar 2
Three Headed 链枷
Pole骨朵
Two Handed Saif
Two Handed Wooden 锤
Woodcutter's 斧
Shield 66%
  Southern Light Shield
  Metal Round Shield</t>
  </si>
  <si>
    <t>Knife
Pitchfork
Wooden Stick
Butcher's 砍刀
Militia 矛
Pick斧</t>
  </si>
  <si>
    <t>Weapon 50%
  Knife
  Bludgeon
  Wooden Stick
  Militia 矛
  Pitchfork
  Pick斧
  Butcher's 砍刀</t>
  </si>
  <si>
    <t>ancient_矛</t>
  </si>
  <si>
    <t>militia_矛</t>
  </si>
  <si>
    <t>boar_矛</t>
  </si>
  <si>
    <t>fighting_矛</t>
  </si>
  <si>
    <t>矛 / 骨朵</t>
  </si>
  <si>
    <t>goblin_矛</t>
  </si>
  <si>
    <t>矛wall</t>
  </si>
  <si>
    <t>throw_矛</t>
  </si>
  <si>
    <t>剑master (all perks are on t4. Only one of these can be picked)</t>
  </si>
  <si>
    <t>Metzger (requires 剑)
Gain the Decapitate skill with 剑s.
Gain all the perks of the 砍刀 特技组 when using a 剑. 剑s now additionally qualify as 砍刀s for the purposes of these perks.
Attacks from 剑s inflict Bleeding as if they were 砍刀s.</t>
  </si>
  <si>
    <t>剑</t>
  </si>
  <si>
    <t>剑 +</t>
  </si>
  <si>
    <t>sell剑_background</t>
  </si>
  <si>
    <t>剑master_background</t>
  </si>
  <si>
    <t>剑, +</t>
  </si>
  <si>
    <t>Broken Ancient 剑
Falx
Ancient 矛
Shield
  Auxiliary Shield</t>
  </si>
  <si>
    <t>Broken Ancient 剑
Falx
2 Ancient 矛
Auxiliary Shield
2 Coffin Shield</t>
  </si>
  <si>
    <t xml:space="preserve">skeleton
Exploit Opening
Rotation
Weapon T4
剑: -kata
</t>
  </si>
  <si>
    <t>Ancient 剑
Tower Shield</t>
  </si>
  <si>
    <t>Broken Ancient 剑 25%
Ancient 剑 75%
Coffin Shield 66%
Tower Shield 33%</t>
  </si>
  <si>
    <t>skeleton
Exploit Opening
Rotation
Shield Expert
匕首: T7 匕首
else
T7 Weapon
剑 -kata</t>
  </si>
  <si>
    <t>Bludgeon
Butcher's 砍刀
匕首
Hatchet
Militia 矛
Pick斧
Reinforced Wooden 链枷
Short剑
Wooden 链枷
Wooden Stick
Pitchfork
Shield 33%
  Buckler 
  Wooden Shield</t>
  </si>
  <si>
    <t>Battle斧
.5 Great剑
Two Handed 骨朵
Two Handed Wooden 锤
Two Handed Wooden 链枷</t>
  </si>
  <si>
    <t>Bully
Survival Instinct
T4 Weapon
and
Great剑: -kata
骨朵: Formidable Approach
锤: Formidable Approach
链枷: Formidable Approach</t>
  </si>
  <si>
    <t>Battle斧
Great剑
Two Handed 骨朵
Two Handed Wooden 锤
Two Handed Wooden 链枷</t>
  </si>
  <si>
    <t>Bully
Resilient
Survival Instinct
2h: Formidable Approach
T7 Weapon
and
Great剑: -kata</t>
  </si>
  <si>
    <t>Sell剑's Armor
Reinforced Footman's Armor
Heavy Lamellar Armor
Coat of Scales</t>
  </si>
  <si>
    <t>匕首
Knife
Wooden Stick
Hatchet
Bludgeon
Militia 矛
Scramasax
Short剑
Buckler 33%</t>
  </si>
  <si>
    <t>Sell剑 Armor
Padded Leather
Patched Mail Shirt
Basic Mail Shirt
Mail Shirt
Reinforced Mail Hauberk
Mail Hauberk
Lamellar Harness
Footman Armor
Light Scale Armor
Leather Scale Armor</t>
  </si>
  <si>
    <t xml:space="preserve">剑master_blade_dancer
</t>
  </si>
  <si>
    <t>剑master_meisterhau</t>
  </si>
  <si>
    <t>剑master_metzger</t>
  </si>
  <si>
    <t>剑master_precise</t>
  </si>
  <si>
    <t>剑master_reaper</t>
  </si>
  <si>
    <t>goblin
goblin wolfrider racial
1 Additional Action Point Cost
1.25 Direct Damage Mult
剑, 矛 Spec
Backstabber
Kata (force enabled)
T4 Weapon</t>
  </si>
  <si>
    <t>goblin
1.5 Target Attraction Mult
1.1 Damage Direct Mult
剑, 弩 Spec
Captain
Duelist
T7 Weapon
T7 剑</t>
  </si>
  <si>
    <t>20%
  匕首
  Knife
  Hooked Blade
  Pitchfork
  Woodcutters 斧
  Goedendag
80%
  Wooden Stick
  Hatchet
  Bludgeon
  Militia 矛
  Scramasax
  Short剑
  Wooden 链枷
  Reinforced Wooden 链枷
  Butchers 砍刀
Shield 25%
  Buckler Shield</t>
  </si>
  <si>
    <t>20%
  匕首
  Knife
  Hooked Blade
  Pitchfork
  Woodcutters 斧
80%
  Wooden Stick
  Hatchet
  Bludgeon
  Militia 矛
  Scramasax
  Short剑
  Wooden 链枷
  Reinforced Wooden 链枷
  Butchers 砍刀
Shield 25%
  Buckler Shield</t>
  </si>
  <si>
    <t>Hooked Blade
Pike
Woodcutters 斧
Bludgeon
Hand 斧
Militia 矛
Boar 矛
Falchion
Short剑
Goedendag
Warfork
Shield 50%
  Wooden Shield</t>
  </si>
  <si>
    <t>Billhook
Arming 剑
Hand 斧
Military 砍刀
Boar 矛
Falchion
Short剑
Shield 75%
  Wooden Shield
  Kite Shield</t>
  </si>
  <si>
    <t>Arming 剑
链枷
Military Pick
Morning Star
Shield 100%
  Faction Kite Shield
  Faction Heater Shield</t>
  </si>
  <si>
    <t>noble_great剑</t>
  </si>
  <si>
    <t>Long剑
Pole斧</t>
  </si>
  <si>
    <t>Battleforged
Finesse
Rotation
Skirmisher
Vigilant
T7 Weapon
and
  剑: Crippling Strikes, Duelist, Double Strike, Pattern Recognition, 剑master Grappler
  斧: Calculated Strikes, Formidable Approach</t>
  </si>
  <si>
    <t>Arming 剑
Fighting 斧
Military 砍刀
War锤
Winged 骨朵
Battle斧
Kriegsmesser</t>
  </si>
  <si>
    <t>Captain
Duelist 
Nimble
Resilient
Rotation 
Onslaught
Hold Steady
Arming 剑: T7
else
  T4 Weapon</t>
  </si>
  <si>
    <t>Fighting 斧
Military 砍刀
Noble 剑
War锤
Winged 骨朵
Shield 100%
  Faction Heater Shield
  Faction Kite Shield</t>
  </si>
  <si>
    <t>Pole骨朵
剑lance</t>
  </si>
  <si>
    <t>1.1 Target Attraction Mult
剑, 骨朵, 弩 Spec
Anticipation
Overwhelm
Fearsome
Rotation
Recover
弩精通</t>
  </si>
  <si>
    <t>Bludgeon
Hatchet
Hand 斧
Scramasax
Militia 矛
Short剑</t>
  </si>
  <si>
    <t>Bludgeon
Hatchet
Hand 斧
Scramasax
Militia 矛
Short剑
Shield 50%
Worn Heater Shield
Old Wooden Shield</t>
  </si>
  <si>
    <t>ghost_knight(Lightbringer 剑)</t>
  </si>
  <si>
    <t>砍刀/剑</t>
  </si>
  <si>
    <t>剑lance</t>
  </si>
  <si>
    <t>矛/剑</t>
  </si>
  <si>
    <t>broken_ancient_剑</t>
  </si>
  <si>
    <t>short剑</t>
  </si>
  <si>
    <t>fencing_剑</t>
  </si>
  <si>
    <t>arming_剑</t>
  </si>
  <si>
    <t>noble_剑</t>
  </si>
  <si>
    <t>rf_剑_thrust</t>
  </si>
  <si>
    <t>long剑</t>
  </si>
  <si>
    <t>lightbringer_剑</t>
  </si>
  <si>
    <t>rf_great剑</t>
  </si>
  <si>
    <t>great剑 (zweihander)</t>
  </si>
  <si>
    <t>great剑 (half剑)</t>
  </si>
  <si>
    <t>great剑 (reverse grip)</t>
  </si>
  <si>
    <t>剑 / 匕首</t>
  </si>
  <si>
    <t>ancient_剑</t>
  </si>
  <si>
    <t>剑/匕首</t>
  </si>
  <si>
    <t>rf_剑staff</t>
  </si>
  <si>
    <t>剑/矛</t>
  </si>
  <si>
    <t>Sell剑's Armor</t>
  </si>
  <si>
    <t>Angler (requires 投掷 Net)
Enemies netted by you have a 50% increased Action Point cost for using the Break Free skill.
Gain Net Pull when wielding a 投掷 Net.
Net Pull (requires 投掷 Net)
Pull a target from 2 tiles away with a max height difference of 1 if there is an open tile next to you, expending your net to net and stagger them. Shieldwall, 矛wall and Riposte will be canceled for a successfully pulled target. A rooted target can not be pulled.</t>
  </si>
  <si>
    <t>Kingfisher (requires 投掷 Net)
While wielding a net, every successful melee attack against an adjacent target has a chance to net the target without expending your currently held net. The chance is equal to the hit chance of the attack.
You cannot use or swap this net until the target breaks free or dies. If you move more than 1 tile away from the target, the target remains netted but you lose the net.
This net effect can be broken out of with 100% effectiveness.
Gain +2 Reach while holding a net and not currently netting a target.</t>
  </si>
  <si>
    <t>投掷</t>
  </si>
  <si>
    <t>Offhand Training 
(requires Offhand Item weighing less than 10)
Once per turn, the first use of your offhand item weighing less than 10 costs no Action Points.
Gain Trip Artist when wielding a net.
Trip Artist (requires 投掷 Net)
The first melee attack every turn against an adjacent target will apply the staggered effect on a hit.
When wielding a weapon with a Reach of less than 4, gain the difference in Reach up to 4.</t>
  </si>
  <si>
    <t>弓, +
弩, +
投掷, +</t>
  </si>
  <si>
    <t>50%
  投掷 Net</t>
  </si>
  <si>
    <t>Wooden Stick
Bludgeon
Saif
Battle Whip
投掷 Net</t>
  </si>
  <si>
    <t>投掷 Net</t>
  </si>
  <si>
    <t>Night Immune
Injury Immune
Bleed Immune
Poison Immune
0.1 Damage Received Mult (弓)
0.33 Damage Received Mult (弩, Handgonne, Sling)
0.25 Damage Received Mult (Javelin, Firelance)
0.5 Damage Received Mult (Piercing 匕首 Attacks, Fencing 剑, Rupture, Piercing 长柄 Attacks, 矛, 投掷 矛)</t>
  </si>
  <si>
    <t>Boar 矛
Falchion
链枷
Hand斧
Military Pick
Morning Star
Scramasax
Short剑
Two Handed Falchion
Warbrand
投掷 33%
  投掷 矛
3 Wooden Shield 
Kite Shield</t>
  </si>
  <si>
    <t>Net 20%
Boar 矛
匕首
Falchion
Scramasax
Hooked Blade
Pike
Reinforced Wooden Pole链枷
Warfork
(if 投掷) 50%
  Javelins
  投掷 斧s</t>
  </si>
  <si>
    <t>Arming 剑
Boar 矛
Falchion
链枷
Hand斧
Military Pick
Morning Star
Scramasax
Long斧
Pole锤
Two Handed Falchion
Warbrand
投掷 33%
  投掷 矛
Shield 100%
Wooden Shield
Kite Shield</t>
  </si>
  <si>
    <t>投掷 Net 33%
Boar 矛
Rondel 匕首
Arming 剑
Scramasax
Pole链枷
Pike
Spetum
if Thrower (50%)
  Javelin
  投掷 斧
else
  投掷 矛 25%</t>
  </si>
  <si>
    <t>Bully
Dodge
Ghostlike
Pathfinder
Quick Hands
Relentless
If 投掷: 投掷精通
T4 Weapon
and
匕首: Backstabber, Overwhelm
Pike: Backstabber</t>
  </si>
  <si>
    <t>Arming 剑
Boar 矛
链枷
Hand斧
Military Pick
Morning Star
Scramasax
Long斧
Pole锤
Two Handed Falchion
Warbrand
投掷 33%
  投掷 矛
Shield 100% (if 1h)
Kite Shield
Heater Shield</t>
  </si>
  <si>
    <t>投掷 Net 33%
Arming 剑
Boar 矛
Rondel 匕首
Scramasax
Billhook
Pole链枷
Pike
Spetum
if Thrower (50%)
  Javelin
  投掷 斧
else (50%)
  投掷 矛 25%</t>
  </si>
  <si>
    <t>Bully
Dodge
Footwork
Ghostlike
Pathfinder
Quick Hands
Skirmisher
If 4AP: Duelist
Net: Angler
Weapon T7
and
匕首: Backstabber, Double Strike, Overwhelm
Pike: Backstabber, Devastating Strikes
If 投掷: 投掷精通, Opportunist</t>
  </si>
  <si>
    <t>Antler 砍刀
Claw Club
Militia 矛
Shield 20%
  Old Wooden Shield
投掷 40%
  投掷 斧
  Javelin
  Orc Javelin</t>
  </si>
  <si>
    <t>斧锤
Blunt 砍刀
Crude 斧
Throw 40%
  Heavy 投掷 斧
  Heavy Javelin
  投掷 矛
Shield 33%
  Old Wooden Shield</t>
  </si>
  <si>
    <t>剑, 斧, 骨朵, 链枷, 长柄, 投掷, 锤, 矛, 砍刀 Spec
1.1 Target Attraction Mult
Underdog
Anticipation
Resilient
Recover
Brawny
Pathfinder
Dodge (Day 30+)
Survival Instinct
Bag weapon:精通</t>
  </si>
  <si>
    <t>弓 .1 Damage
弩/Sling .33 Damage
Javelin .25 Damage
Piercing Melee .5 Damage
Handgonne .5 Damage
投掷 矛 .5 Damage
Dog Bite .33 Damage</t>
  </si>
  <si>
    <t>Hand 斧
Boar 矛
Falchion
Short剑
Arming 剑
Wooden Shield
投掷 35%
  投掷 斧
  Javelin</t>
  </si>
  <si>
    <t>剑, 斧, 骨朵, 链枷, 长柄, 投掷, 锤, 矛, 砍刀 Spec
Shield Expert
Recover
Phalanx
Rotation
投掷精通
Weapon T4</t>
  </si>
  <si>
    <t>Hand 斧
Boar 矛
Morning Star
Falchion
Arming 剑
链枷
匕首
Battle Whip
Billhook
Pike
Spetum
Warbrand
IF OHF: Shield 75%
  Wooden Shield
  Heater Shield
  Kite Shield
Else
  投掷 Net
投掷 50%
  投掷 斧
  Javelin</t>
  </si>
  <si>
    <t>剑, 斧, 骨朵, 链枷, 长柄, 投掷, 锤, 矛, 砍刀, 匕首 Spec
Brawny
Bullseye
Quick Hands
Dodge
Nimble
Overwhelm
Rotation
Footwork
Recover
Weapon T4</t>
  </si>
  <si>
    <t>1h 58%
  Hand 斧
  Boar 矛
  Morning Star
  Falchion
  Arming 剑
  链枷
2h 42%
  Billhook
  Pike
  Warbrand
IF OHF: Shield 75%
  Wooden Shield
  Heater Shield
  Kite Shield
Else
  投掷 Net
If 1h: 投掷 50%
  投掷 斧
  Javelin</t>
  </si>
  <si>
    <t>Hand 斧
Fighting 矛
Morning Star
Falchion
Arming 剑
链枷
Military Pick
Three Headed 链枷
Scimitar
Bardiche
Billhook
Long剑
Pike
Pole锤
Warbrand
IF OHF: Shield 75%
  Wooden Shield
  Heater Shield
  Kite Shield
Else
  投掷 Net
If 1h: 投掷 60%
  投掷 斧
  Javelin
  投掷 矛</t>
  </si>
  <si>
    <t>剑, 斧, 骨朵, 链枷, 长柄, 投掷, 锤, 矛, 砍刀 Spec
Captain
Shield Expert
Rally the Troops
Recover
Onslaught
Hold Steady
Shield Sergeant
Exude Confidence
Rotation
Strength in Numbers
T4 Weapon
Shield: Phalanx, Shield Expert</t>
  </si>
  <si>
    <t>剑, 斧, 骨朵, 链枷, 长柄, 投掷, 锤, 矛, 砍刀 Spec
+5 MeleeSkill (Day 40+)
+5 RangedSkill (Day 40+)
Brawny
Bullseye
Quick Hands
Relentless
Rotation
Recover
Pathfinder
Dodge (Day 40+)
Weapon T4</t>
  </si>
  <si>
    <t>投掷 25%
  Orc Javelin
75%
  50%
    Orc 斧
    Orc 砍刀
  50%
    Orc Wooden Club
    Orc Metal Club
25%
  Goblin Falchion
  Hatchet
  Morning Star
Shield 50%
  Orc Light Shield</t>
  </si>
  <si>
    <t>orc_racial
斧, 砍刀 Spec
投掷 Spec (Day 70+)
+5 RangedSkill (Day 150+)
Menacing
Weapon T3</t>
  </si>
  <si>
    <t>剑/投掷/匕首 Spec
Nimble
Overwhelm
Dodge
Underdog
Pathfinder
Adrenaline
Quick Hands
Footwork
Backstabber
Executioner
Duelist
Relentless
Double Strike
Ghostlike
T7 Weapon</t>
  </si>
  <si>
    <t>投掷_斧</t>
  </si>
  <si>
    <t>heavy_投掷_斧</t>
  </si>
  <si>
    <t>投掷_矛</t>
  </si>
  <si>
    <t>Nine Lives
Once per battle, upon receiving a killing blow, survive instead with a few 生命值 left and have all damage over time effects (e.g. Bleeding, Poisoned) cured.
Upon triggering, gain increased attributes until your next turn.</t>
  </si>
  <si>
    <t>Colossus
生命值 are increased by 25%, which also reduces the chance to sustain debilitating injuries when being hit.</t>
  </si>
  <si>
    <t>Dismemberment (requires 斧 and Cutting Damage)
When inflicting an injury with an attack, if you meet the threshold for the lowest possible injury, instead inflict one with the highest threshold.
This injury triggers at least one additional morale check on the target and can trigger up to 3 morale checks, one for every 33% 生命值 damage dealt compared to remaining 生命值.</t>
  </si>
  <si>
    <t>Bone Breaker (requires 骨朵 and Blunt Attack)
Attacks that do at least 5 damage to 生命值 and apply a valid status effect or are against characters with a valid status effect have a chance to inflict an injury. This chance is 100% for two-handed 骨朵s and 50% for one-handed 骨朵s.
If the damage was sufficient to inflict an injury it inflicts an additional injury.
In a single turn, cannot trigger more than once on the same target.
Valid status effects include: Stunned, Netted, Webbed, Rooted, Sleeping.</t>
  </si>
  <si>
    <t>Soul Link
All incoming damage to 生命值 is reduced by 40%. Hitpoint damage reduced is transferred to a random adjacent ally.
Allies with Soul Link cannot be the target of this ability.</t>
  </si>
  <si>
    <t>生命值</t>
  </si>
  <si>
    <t>-1 AP Darkflight
Terrifying Visage (passive):
Every attack has a chance to apply the Horrified effect.
Sanguine Curse:
  3AP
  3 Range
  Steal 10 生命值 from the target at the end of their turn, reduces stamina by 25% and stamina recovery by 3. Lasts 2 rounds. Always targets the enemy with the highest 生命值.
  Only one target can be cursed at a time.</t>
  </si>
  <si>
    <t>决心</t>
  </si>
  <si>
    <t>Bags and Belts
Unlock two extra bag slots.
Items placed in bags no longer apply a penalty to Maximum 疲劳, except for two-handed weapons</t>
  </si>
  <si>
    <t>Pathfinder
Action Point costs for movement on all terrain is reduced by -1 to a minimum of 2 Action Points per tile, and 疲劳 cost is reduced to half. Changing height levels also has no additional Action Point cost anymore.</t>
  </si>
  <si>
    <t>Footwork
Unlocks the Footwork skill which allows you to leave a Zone of Control without triggering free attacks.
Gain Sprint.
Sprint
Action Point cost for movement on all terrain is reduced by -1 and 疲劳 cost increased by 100% until the end of your turn. 
Cannot be used while Rooted.
Cost: 0 AP 10 Fat</t>
  </si>
  <si>
    <t>Shield Sergeant
 Allies with a Shield will use Shieldwall for free at the start of each battle.
Allies within 2 tiles will have the Action Point and 疲劳 costs of their Shieldwall halved. Cannot reduce the Action Point cost below 2.
If you have the Shieldwall skill available, any ally who starts or ends their turn adjacent to you will use Shieldwall for free.
Only members of your company are considered allies for the purposes of this perk.</t>
  </si>
  <si>
    <t>Vanquisher (requires Melee Attack)
Immediately after killing an opponent, if you move into the tile of the killed target, the Action Point cost of the next skill used is halved.
Gain Gain Ground.
Gain Ground
Immediately after killing an adjacent target, allows you to move into their tile ignoring Zone of Control with a movement cost equal to that of your starting tile reduced by -2 Action Points and -2 疲劳.</t>
  </si>
  <si>
    <t>Rotation
Unlocks the Rotation skill which allows you to switch places with an adjacent allied character while ignoring Zone of Control.
Cannot be used if either character is Stunned, Rooted or otherwise disabled.
Cost: 3AP 20 疲劳</t>
  </si>
  <si>
    <t>Finesse
疲劳 Cost of skills is reduced by 20%.</t>
  </si>
  <si>
    <t>Fresh and Furious
The Action Point cost of the first skill that costs Action Points used every turn is halved.
The effect becomes disabled if you start a turn with 30% 疲劳 built and remains disabled until you use Recover.</t>
  </si>
  <si>
    <t>Fruits of Labor
生命值 and Maximum 疲劳 are increased by 10% of their respective base values.</t>
  </si>
  <si>
    <t>Reaper (requires 剑)
The Action Point costs of AOE 剑 skills is reduced by 2 and the 疲劳 cost by 10%.</t>
  </si>
  <si>
    <t>Versatile 剑sman (requires 剑)
Unlocks three stances which can be switched to during combat for 3 Action Points and 1 疲劳 to gain different effects that last as long as the stance is kept. Always begin combat in the Meisterhau stance.
Meisterhau
Triggering En Garde no longer requires any remaining 疲劳. Gain the Kick, Push Through and Tackle skills.
Half 剑ing
Removes all attack skills from the currently equipped 剑 and adds the Stab and Puncture skills. The Stab skill deals 50% reduced damage.
Lose half of your weapon's Reach.
Reverse Grip
剑s gain the 骨朵 tag.
Removes all attack skills from the currently equipped 剑 and adds the Bash and Knockout or Cudgel and Strike Down skills for one-handed or two-handed 剑s respectively.
Lose one-third of your weapon's reach.
Gain the Concussive Strikes perk when a 剑 is equipped.</t>
  </si>
  <si>
    <t>Bestial Vigor
Unlocks the Bestial Vigor skill which can be used once per combat to reduce current 疲劳 by 100% and gain +3 Action Points for this turn.
Cost: 0 AP, 0 Fat</t>
  </si>
  <si>
    <t>Savage Strength
The 疲劳 cost of weapon skills is reduced by 25%.</t>
  </si>
  <si>
    <t>弓精通
Skills build up 25% less 疲劳. 
View range and maximum shooting range with 弓s is increased by +1.
Gain Arrow to the Knee.
Arrow to the Knee (requires 弓)
On a successful hit, applies Stagger and requires the target to spend 2 additional Action Points per tile moved. Has -10% chance to hit and no chance to hit the head.
Cost: 4 AP 20 Fat</t>
  </si>
  <si>
    <t>Trick Shooter
Gain Hip Shooter and Flaming Arrows.
Hip Shooter (requires 弓)
The Action Point cost of Quick Shot is reduced by 1 but each subsequent Quick Shot builds 10% more 疲劳.
Flaming Arrows (requires 弓)
Aimed shot additionally does Fire damage and ignites the tile the arrow lands on for 2 rounds. If it hits the target, triggers a Morale Check for the target and adjacent enemies.</t>
  </si>
  <si>
    <t>弩精通
Skills build up 25% less 疲劳.
Heavy 弩s now require 4 Action Points to reload just like regular 弩s, allowing you to shoot, reload and move.
Handgonnes now require 6 Action Points to reload and can be fired every turn instead of every other turn.
Gain Take Aim.
Take Aim (requires 弩 or Firearm)
For the next ranged attack:
弩s ignore any Hitchance Penalty from obstacles and the shot cannot go astray.
Handgonnes have their Maximum Range increased by 1 and if used at a shorter range, have their Area-of-Effect is increased by 1 instead.</t>
  </si>
  <si>
    <t>匕首精通
Skills build up 25% less 疲劳.
Attacks from 匕首s against targets who act after you in the current round ignore all of the target's reach advantage.
Stab, Puncture and Deathblow have a reduced Action Point cost to allow for an additional attack each turn.</t>
  </si>
  <si>
    <t>Deep Impact (requires 锤 and Blunt Attack)
Perform your primary attack on the target as if it has a base cost of 30 疲劳. If successful, reduce their damage output by a percentage equal to the ratio of 生命值 damage received to current 生命值, up to a maximum of 50%.</t>
  </si>
  <si>
    <t>骨朵精通
Skills build up 25% less 疲劳. 
Knock Out, Knock Over and Strike Down have a 100% chance to Stun the target if not immune. 
The Pole骨朵 no longer has a penalty for attacking targets directly adjacent.
Gain Bear Down.
Bear Down (requires 骨朵)
Gain +15% chance to hit the head and a 33% reduction to injury threshold when attacking a Rattled, Stunned, Dazed, Netted, Sleeping, Staggered, Webbed or Rooted enemy.</t>
  </si>
  <si>
    <t>长柄精通
Skills build up 25% less 疲劳.
All skills with two-handed weapons, with a range of 2 tiles, having an Action Point cost of 6 have their Action Point cost reduced to 5.
长柄s no longer have a penalty for attacking targets directly adjacent.
Gain Bolster.
Bolster (requires weapon with 6 or more Reach)
When not engaged in melee, whenever you attack, hit or miss, trigger a Positive Morale Check for adjacent members of your company.</t>
  </si>
  <si>
    <t xml:space="preserve">矛精通
Skills build up 25% less 疲劳.
The Action Point cost of 矛wall is reduced by 1.
矛wall is no longer disabled once an opponent manages to overcome it. Instead, 矛wall can still be used and continues to give free attacks on any further opponent attempting to enter the Zone of Control.
When starting your turn with a 矛 equipped, the first 矛 attack during your turn costs no Action Points and builds no 疲劳, but deals 25% reduced damage. Expires upon switching your weapon.
The Spetum and Warfork no longer have a penalty for attacking targets directly adjacent. </t>
  </si>
  <si>
    <t>剑精通
Skills build up 25% less 疲劳.
Riposte no longer has a penalty to hitchance.
Gash has a 50% lower threshold to inflict Injuries.
Split and Swing no longer have a penalty to hitchance and gain +5% chance to hit.
Gain Kata.
Kata
(requires two-handed 剑 or one-handed 剑 with offhand free)
Immediately after a successful attack, allows you to move one tile ignoring Zone of Control with reduced Action Point and 疲劳 cost.
The target tile for the movement must be adjacent to an enemy.</t>
  </si>
  <si>
    <t>En Garde (requires 剑)
The double grip bonus for southern 剑s is not disabled when using an offhand item with less than 10 weight.
Use Riposte freely at the end of your turn if your weapon has Riposte. If your weapon does not have Riposte and is two-handed, gain the Rebuke effect instead for one turn, with an additional chance of 15% for returning a missed attack. The attacks triggered from this Rebuk do not build 疲劳.
This perk only triggers if you have at least 15 疲劳 remaining, but does not cost any Action Points and does not build any 疲劳.</t>
  </si>
  <si>
    <t>投掷精通
Skills build up 25% less 疲劳.
Damage is increased by 30% when attacking at a distance of 2 tiles and by 20% when attacking at a distance of 3 tiles.
Hits from 投掷 attacks now apply certain debuffs on the target. Piercing type attacks have a 50% chance to inflict the Arrow to the Knee effect. Cutting type attacks always apply the Overwhelmed effect. Blunt type attacks have a 50% chance to inflict staggered and if the target is already staggered, 100% chance to inflict stunned.</t>
  </si>
  <si>
    <t>Opportunist (requires 投掷 Weapon)
The first 2 投掷 attacks during a combat have their Action Point costs halved. 
When using a 投掷 weapon which uses ammo, every time you stand over an enemy's corpse during your turn, gain 1 ammo and restore 4 Action Points. Afterward, the next 投掷 attack has its 疲劳 Cost halved.
A corpse can only be used once per combat and cannot be used by multiple characters with this perk.</t>
  </si>
  <si>
    <t>Line Breaker (Requires Shield)
The Knockback skill gains +15% chance to hit and now applies the Staggered effect.
Gain Linebreaker.
Linebreaker
Knock back an enemy, inflict 10 疲劳 and take their place, all in one action.
Cost: 4 AP 20 Fat</t>
  </si>
  <si>
    <t>Rebuke
Gain the Rebuke effect during combat which grants a 25% chance to perform an attack against an adjacent opponent who misses a melee attack against you. This attack costs no Action Point but can only trigger if you have enough 疲劳 to afford it. A resolve check is triggered for you, and if successful, the attack builds no 疲劳.
When wielding a shield, the chance is increased by an additional +15% and the attack does not build or require any 疲劳.</t>
  </si>
  <si>
    <t>Mentor's Presence
The student of this character gains the Mentor's Presence effect.
If the student dies, this character will immediately recover 50% of built 疲劳 and gain the Adrenaline effect.</t>
  </si>
  <si>
    <t>Fencer (requires Fencing 剑)
Skills build up 20% less 疲劳 and gain +10% chance to hit.
When using a one-handed fencing 剑, the Action Point costs of 剑 Thrust, Riposte and Lunge are reduced by 1.
When using a two-handed fencing 剑, the range of Lunge is increased by 1 tile.</t>
  </si>
  <si>
    <t>疲劳</t>
  </si>
  <si>
    <t>Night Immune
Injury Immune
Bleed Immune
Poison Immune
2.0 疲劳 Dealt Per Hit Mult</t>
  </si>
  <si>
    <t>zombie
3.0 Resurrection Value
10 Surround Bonus
Night Immune
Injury Immune
Bleed Immune
Poison Immune
2.0 疲劳 Dealt Per Hit Mult (Day 20+)
0.1 Damage Total Mult (Day 90+)
Backstabber
Wear Them Down (force enabled)</t>
  </si>
  <si>
    <t>zombie_knight
10 Surround Bonus
Night Immune
Injury Immune
Bleed Immune
Poison Immune
1.25 Damage Total Mult
0.75 Damage Received Armor Mult
2.0 疲劳 Dealt Per Hit
Battleforged</t>
  </si>
  <si>
    <t>10 Surround Bonus
Night Immune
Injury Immune
Bleed Immune
Poison Immune
2.0 疲劳 Dealt Per Hit
Battleforged
Crippling Strikes
Resilient</t>
  </si>
  <si>
    <t>疲劳 Cost</t>
  </si>
  <si>
    <t>The Rush of Battle
Whenever you attack or are attacked, hit or miss, gain a stacking +5 主动 and +5% reduction to the 疲劳 Cost of skills  during your next turn, up to a maximum of +25 and +25% respectively.</t>
  </si>
  <si>
    <t>Decisive
Gain a stack whenever you end your turn without having used Wait, up to a maximum of 3 stacks.
Gain +15 Resolve and 主动 while you have at least 1 stack.
Skills build up 15% less 疲劳 while you have at least 2 stacks.
Deal 15% additional damage while you have 3 stacks.
You lose all stacks if you use Wait.</t>
  </si>
  <si>
    <t>Trickster's Purses
Unlock 2 extra bag slots.
Unlocks the Throw Pocket Sand skill which allows you to store sand in your empty bag slots with which to distract nearby enemies, reducing Damage and 主动 by 35%.</t>
  </si>
  <si>
    <t>Wears it Well
The penalty to Maximum 疲劳 and 主动 from equipped items in your head, body mainhand and offhand slots is reduced by 20%.
This effect stacks with Brawny.</t>
  </si>
  <si>
    <t>Blade Dancer (requires Non-Fencing 剑)
Gain 主动 equal to the armor ignore percentage of your equipped 剑.
The Action Point cost of non-AOE skills is reduced by -1 and these skills build up 25% less 疲劳.
Allows Kata Step to be usable even while holding something, e.g. a shield, in your offhand.
Kata Step costs 2 fewer Action Points and builds 2 less 疲劳, both down to a minimum of 0.</t>
  </si>
  <si>
    <t>砍刀精通
Skills build up 25% less 疲劳. 
Attacks from 砍刀s apply an additional stack of Bleed on targets. 
Disarm only has half the penalty to hit.
Gouge has a 50% lower threshold to inflict injuries.
Gain the Bloodlust perk.
Bloodlust (requires 砍刀)
After inflicting a fatality, gain 2 stacks of Bloodlust, up to a maximum of 2 stacks.
For each stack, Resolve, 主动 and 疲劳 Recovery rate are increased by +25%.
You lose 1 stack at the start of every turn.</t>
  </si>
  <si>
    <t>Tempo (requires 剑)
Every hit or miss against any target increases your 主动 by +15. This bonus lasts over into your next turn but only until the first skill used or upon waiting that turn.
The first two hits against opponents who act after you in the current round recover 2 Action Points each. A miss against any target or a hit against a target who acted before you increments the counter, but does not recover any Action Points.</t>
  </si>
  <si>
    <t>Relentless
At all times your 主动 is reduced only by 50% of your accumulated 疲劳, instead of all of it. In addition, using the Wait command will no longer give you a penalty to 主动 in the next round.</t>
  </si>
  <si>
    <t>Nimble
Damage to 生命值 is reduced by 50% and that to armor by 25%.
The bonus drops exponentially when wearing head and body armor with a total penalty to Maximum 疲劳 above 15. The lighter your armor and helmet, the more you benefit.
Does not affect damage from mental attacks or status effects, but can help to avoid receiving them.
When attacking a target against whom you have a Reach Disadvantage, reduce this disadvantage by 1 if your 主动 is greater than that of your target.
Brawny does not affect this perk.
Cannot be taken if you have Poise.</t>
  </si>
  <si>
    <t>Skirmisher
Reduces the penalty to 主动 from head and body armor by 30% and at all times your 主动 is reduced only by 50% of your accumulated 疲劳, instead of all of it.</t>
  </si>
  <si>
    <t>Poise
Damage to 生命值 is reduced by 30% and to armor by 20%.
The bonus drops exponentially when wearing head and body armor with a total penalty to Maximum Fatigu above 35.
Does not affect damage from mental attacks or status effects, but can help to avoid receiving them.
When attacking a target against whom you have a Reach Disadvantage, reduce this disadvantage by 1 if your 主动 is greater than that of your target.
Brawny does not affect this perk.
Cannot be taken with Nimble.</t>
  </si>
  <si>
    <t>Brawny
The 疲劳 and 主动 penalty from wearing armor and helmet is reduced by 30%.</t>
  </si>
  <si>
    <t>Shield Expert (Requires Shield)
The shield defense bonus is increased by 25%. This also applies to the additional defense bonus of the Shieldwall skill.
The drop in shield defense bonus at maximum 疲劳 is reduced from 50% to 25%.
Missed attacks against you no longer increase your 疲劳.
Gain Cover Ally.
Cover Ally
 Cover an adjacent ally, allowing them to move 1 tile ignoring Zone of Control on their turn.
If the target stays adjacent to you until the start of the next round, their turn order is calculated with +5000 主动.
Cost: 4 AP 20 疲劳</t>
  </si>
  <si>
    <t>Wear them Down
Successful attacks apply the Worn Down effect on the target, increasing 疲劳 cost by 10% and reducing 主动 by -10%.
Gain a stacking 20% chance that an enemy requires two successful rolls to hit you per negative status effect affecting the enemy.
Valid status effects include: worn down, stunned, dazed, rattled, netted, sleeping, staggered, rooted, webbed</t>
  </si>
  <si>
    <t>主动</t>
  </si>
  <si>
    <t>生命值
主动</t>
  </si>
  <si>
    <t>XP = 200,
ActionPoints = 9,
生命值 = 50,
决心 = 55,
Stamina = 100,
MeleeSkill = 60,
RangedSkill = 0,
MeleeDefense = 0,
RangedDefense = 0,
主动 = 65,
疲劳EffectMult = 0.0,
MoraleEffectMult = 0.0,
Armor = [0,0]</t>
  </si>
  <si>
    <t>XP = 250,
ActionPoints = 9,
生命值 = 55,
决心 = 65,
Stamina = 100,
MeleeSkill = 65,
RangedSkill = 0,
MeleeDefense = 0,
RangedDefense = 0,
主动 = 65,
疲劳EffectMult = 0.0,
MoraleEffectMult = 0.0,
Armor = [0,0]</t>
  </si>
  <si>
    <t>-20 主动
skeleton
T4 Weapon, -Bolster</t>
  </si>
  <si>
    <t>XP = 350,
ActionPoints = 9,
生命值 = 65,
决心 = 80,
Stamina = 100,
MeleeSkill = 70,
RangedSkill = 0,
MeleeDefense = 10,
RangedDefense = 0,
主动 = 75,
疲劳EffectMult = 0.0,
MoraleEffectMult = 0.0,
Armor = [0,0]</t>
  </si>
  <si>
    <t>XP = 300,
ActionPoints = 9,
生命值 = 65,
决心 = 75,
Stamina = 100,
MeleeSkill = 70,
RangedSkill = 0,
MeleeDefense = 5,
RangedDefense = 0,
主动 = 70,
疲劳EffectMult = 0.0,
MoraleEffectMult = 0.0,
Armor = [0,0]</t>
  </si>
  <si>
    <t>XP = 300,
ActionPoints = 9,
生命值 = 65,
决心 = 75,
Stamina = 100,
MeleeSkill = 70,
RangedSkill = 0,
MeleeDefense = 5,
RangedDefense = 5,
主动 = 70,
疲劳EffectMult = 0.0,
MoraleEffectMult = 0.0,
Armor = [0,0]</t>
  </si>
  <si>
    <t>-20 主动
skeleton
T4 Weapon
and
Pike: Follow Up, -Bolster
Warscythe: Overwhelm, -Bolster</t>
  </si>
  <si>
    <t>XP = 425,
ActionPoints = 9,
生命值 = 75,
决心 = 90,
Stamina = 100,
MeleeSkill = 75,
RangedSkill = 0,
MeleeDefense = 15,
RangedDefense = 5,
主动 = 80,
疲劳EffectMult = 0.0,
MoraleEffectMult = 0.0,
Armor = [0,0]</t>
  </si>
  <si>
    <t>XP = 350,
ActionPoints = 9,
生命值 = 70,
决心 = 85,
Stamina = 100,
MeleeSkill = 75,
RangedSkill = 0,
MeleeDefense = 10,
RangedDefense = 0,
主动 = 80,
疲劳EffectMult = 0.0,
MoraleEffectMult = 0.0,
Armor = [0,0]</t>
  </si>
  <si>
    <t>XP = 350,
ActionPoints = 9,
生命值 = 70,
决心 = 85,
Stamina = 100,
MeleeSkill = 75,
RangedSkill = 0,
MeleeDefense = 10,
RangedDefense = 10,
主动 = 80,
疲劳EffectMult = 0.0,
MoraleEffectMult = 0.0,
Armor = [0,0]</t>
  </si>
  <si>
    <t>-20 主动
skeleton
T7 Weapon, -Bolster
and
Pike: Follow Up
Warscythe: Overwhelm</t>
  </si>
  <si>
    <t>XP = 450,
ActionPoints = 9,
生命值 = 75,
决心 = 90,
Stamina = 100,
MeleeSkill = 75,
RangedSkill = 0,
MeleeDefense = 10,
RangedDefense = 0,
主动 = 75,
疲劳EffectMult = 0.0,
MoraleEffectMult = 0.0,
Armor = [0,0]</t>
  </si>
  <si>
    <t>-50 主动
skeleton
Calculated Strikes
Rotation
T7 Weapon
If Shield: Exploit Opening
IF AOE: Death Dealer
If 2h: Formidable Approach</t>
  </si>
  <si>
    <t>XP = 500,
ActionPoints = 9,
生命值 = 85,
决心 = 100,
Stamina = 100,
MeleeSkill = 85,
RangedSkill = 0,
MeleeDefense = 20,
RangedDefense = 10,
主动 = 85,
疲劳EffectMult = 0.0,
MoraleEffectMult = 0.0,
Armor = [0,0]</t>
  </si>
  <si>
    <t>XP = 400,
ActionPoints = 8,
生命值 = 225,
决心 = 50,
Stamina = 100,
MeleeSkill = 85,
RangedSkill = 0,
MeleeDefense = 25,
RangedDefense = 35,
主动 = 130,
疲劳EffectMult = 0.0,
MoraleEffectMult = 0.0,
Armor = [20,0]</t>
  </si>
  <si>
    <t>XP = 450,
ActionPoints = 9,
生命值 = 65,
决心 = 110,
Stamina = 100,
MeleeSkill = 40,
RangedSkill = 0,
MeleeDefense = 0,
RangedDefense = 5,
主动 = 5,
疲劳EffectMult = 0.0,
MoraleEffectMult = 0.0,
Armor = [0,0]</t>
  </si>
  <si>
    <t>XP = 550,
ActionPoints = 9,
生命值 = 275,
决心 = 50,
Stamina = 100,
MeleeSkill = 95,
RangedSkill = 0,
MeleeDefense = 30,
RangedDefense = 40,
主动 = 140,
疲劳EffectMult = 0.0,
MoraleEffectMult = 0.0,
Armor = [0,0]</t>
  </si>
  <si>
    <t>XP = 500,
ActionPoints = 9,
生命值 = 90,
决心 = 100,
Stamina = 100,
MeleeSkill = 80,
RangedSkill = 0,
MeleeDefense = 15,
RangedDefense = 0,
主动 = 75,
疲劳EffectMult = 0.0,
MoraleEffectMult = 0.0,
Armor = [0,0]</t>
  </si>
  <si>
    <t>XP = 1000,
ActionPoints = 9,
生命值 = 350,
决心 = 120,
Stamina = 100,
MeleeSkill = 90,
RangedSkill = 0,
MeleeDefense = 20,
RangedDefense = 10,
主动 = 70,
疲劳EffectMult = 0.0,
MoraleEffectMult = 0.0,
Armor = [0,0],
DamageTotalMult = 1.35</t>
  </si>
  <si>
    <t>XP = 100,
ActionPoints = 12,
生命值 = 50,
决心 = 50,
Stamina = 130,
MeleeSkill = 55,
RangedSkill = 0,
MeleeDefense = 25,
RangedDefense = 30,
主动 = 130,
疲劳EffectMult = 1.0,
MoraleEffectMult = 1.0,
Armor = [0,0],
疲劳RecoveryRate = 15</t>
  </si>
  <si>
    <t>XP = 125,
ActionPoints = 11,
生命值 = 80,
决心 = 60,
Stamina = 140,
MeleeSkill = 60,
RangedSkill = 0,
MeleeDefense = 20,
RangedDefense = 20,
主动 = 110,
疲劳EffectMult = 1.0,
MoraleEffectMult = 1.0,
Armor = [0,0],
疲劳RecoveryRate = 15</t>
  </si>
  <si>
    <t>XP = 150,
ActionPoints = 12,
生命值 = 90,
决心 = 60,
Stamina = 150,
MeleeSkill = 65,
RangedSkill = 0,
MeleeDefense = 25,
RangedDefense = 25,
主动 = 135,
疲劳EffectMult = 1.0,
MoraleEffectMult = 1.0,
Armor = [0,0],
疲劳RecoveryRate = 20</t>
  </si>
  <si>
    <t>XP = 150,
ActionPoints = 9,
生命值 = 55,
决心 = 40,
Stamina = 95,
MeleeSkill = 55,
RangedSkill = 45,
MeleeDefense = 0,
RangedDefense = 0,
主动 = 95,
疲劳EffectMult = 1.0,
MoraleEffectMult = 1.0,
Armor = [0,0],
疲劳RecoveryRate = 15</t>
  </si>
  <si>
    <t>XP = 150,
ActionPoints = 9,
生命值 = 90,
决心 = 50,
Stamina = 100,
MeleeSkill = 55,
RangedSkill = 45,
MeleeDefense = -5,
RangedDefense = 0,
主动 = 60,
疲劳EffectMult = 1.0,
MoraleEffectMult = 1.0,
Armor = [0,0],
疲劳RecoveryRate = 15</t>
  </si>
  <si>
    <t>XP = 175,
ActionPoints = 9,
生命值 = 55,
决心 = 40,
Stamina = 95,
MeleeSkill = 50,
RangedSkill = 50,
MeleeDefense = 0,
RangedDefense = 5,
主动 = 95,
疲劳EffectMult = 1.0,
MoraleEffectMult = 1.0,
Armor = [0,0],
疲劳RecoveryRate = 15</t>
  </si>
  <si>
    <t>XP = 200,
ActionPoints = 9,
生命值 = 75,
决心 = 50,
Stamina = 115,
MeleeSkill = 65
RangedSkill = 55,
MeleeDefense = 10,
RangedDefense = 0,
主动 = 105,
疲劳EffectMult = 1.0,
MoraleEffectMult = 1.0,
Armor = [0,0],
疲劳RecoveryRate = 15</t>
  </si>
  <si>
    <t>XP = 200,
ActionPoints = 9,
生命值 = 110,
决心 = 60,
Stamina = 115
MeleeSkill = 65,
RangedSkill = 45,
MeleeDefense = 0,
RangedDefense = 0,
主动 = 70,
疲劳EffectMult = 1.0,
MoraleEffectMult = 1.0,
Armor = [0,0],
疲劳RecoveryRate = 15</t>
  </si>
  <si>
    <t>XP = 200,
ActionPoints = 9,
生命值 = 60,
决心 = 45,
Stamina = 100,
MeleeSkill = 65,
RangedSkill = 55,
MeleeDefense = 0,
RangedDefense = 0,
主动 = 110,
疲劳EffectMult = 1.0,
MoraleEffectMult = 1.0,
Armor = [0,0],
疲劳RecoveryRate = 15</t>
  </si>
  <si>
    <t>XP = 200,
ActionPoints = 9,
生命值 = 60,
决心 = 45,
Stamina = 105,
MeleeSkill = 50,
RangedSkill = 60,
MeleeDefense = 0,
RangedDefense = 10,
主动 = 105,
疲劳EffectMult = 1.0,
MoraleEffectMult = 1.0,
Armor = [0,0],
疲劳RecoveryRate = 15</t>
  </si>
  <si>
    <t>XP = 275,
ActionPoints = 9,
生命值 = 80,
决心 = 60,
Stamina = 125,
MeleeSkill = 72,
RangedSkill = 60,
MeleeDefense = 10,
RangedDefense = 0,
主动 = 110,
疲劳EffectMult = 1.0,
MoraleEffectMult = 1.0,
Armor = [0,0],
疲劳RecoveryRate = 15</t>
  </si>
  <si>
    <t>XP = 275,
ActionPoints = 9,
生命值 = 130,
决心 = 70,
Stamina = 120,
MeleeSkill = 72,
RangedSkill = 45,
MeleeDefense = 5,
RangedDefense = 0,
主动 = 75,
疲劳EffectMult = 1.0,
MoraleEffectMult = 1.0,
Armor = [0,0],
疲劳RecoveryRate = 15</t>
  </si>
  <si>
    <t>XP = 275,
ActionPoints = 9,
生命值 = 70,
决心 = 55,
Stamina = 110,
MeleeSkill = 72,
RangedSkill = 60,
MeleeDefense = 10,
RangedDefense = 5,
主动 = 125,
疲劳EffectMult = 1.0,
MoraleEffectMult = 1.0,
Armor = [0,0],
疲劳RecoveryRate = 15</t>
  </si>
  <si>
    <t>XP = 275,
ActionPoints = 9,
生命值 = 65,
决心 = 55,
Stamina = 115,
MeleeSkill = 55,
RangedSkill = 70,
MeleeDefense = 5,
RangedDefense = 15,
主动 = 110,
疲劳EffectMult = 1.0,
MoraleEffectMult = 1.0,
Armor = [0,0],
疲劳RecoveryRate = 15</t>
  </si>
  <si>
    <t>XP = 400,
ActionPoints = 9,
生命值 = 100,
决心 = 80,
Stamina = 130,
MeleeSkill = 80,
RangedSkill = 45,
MeleeDefense = 20,
RangedDefense = 5,
主动 = 125,
疲劳EffectMult = 1.0,
MoraleEffectMult = 1.0,
Armor = [0,0],
疲劳RecoveryRate = 15</t>
  </si>
  <si>
    <t>XP = 350,
ActionPoints = 9,
生命值 = 85,
决心 = 70,
Stamina = 130,
MeleeSkill = 80,
RangedSkill = 65,
MeleeDefense = 15,
RangedDefense = 0,
主动 = 115,
疲劳EffectMult = 1.0,
MoraleEffectMult = 1.0,
Armor = [0,0],
疲劳RecoveryRate = 15</t>
  </si>
  <si>
    <t>XP = 350,
ActionPoints = 9,
生命值 = 150,
决心 = 80,
Stamina = 125,
MeleeSkill = 80,
RangedSkill = 45,
MeleeDefense = 10,
RangedDefense = 0,
主动 = 80,
疲劳EffectMult = 1.0,
MoraleEffectMult = 1.0,
Armor = [0,0],
疲劳RecoveryRate = 15</t>
  </si>
  <si>
    <t>XP = 350,
ActionPoints = 9,
生命值 = 70,
决心 = 60,
Stamina = 120,
MeleeSkill = 80,
RangedSkill = 70,
MeleeDefense = 15,
RangedDefense = 10,
主动 = 130,
疲劳EffectMult = 1.0,
MoraleEffectMult = 1.0,
Armor = [0,0],
疲劳RecoveryRate = 15</t>
  </si>
  <si>
    <t>XP = 350,
ActionPoints = 9,
生命值 = 70,
决心 = 70,
Stamina = 130,
MeleeSkill = 65,
RangedSkill = 80,
MeleeDefense = 5,
RangedDefense = 20,
主动 = 120,
疲劳EffectMult = 1.0,
MoraleEffectMult = 1.0,
Armor = [0,0],
疲劳RecoveryRate = 15</t>
  </si>
  <si>
    <t>XP = 500,
ActionPoints = 9,
生命值 = 120,
决心 = 100,
Stamina = 150,
MeleeSkill = 90,
RangedSkill = 45,
MeleeDefense = 30,
RangedDefense = 0,
主动 = 125,
疲劳EffectMult = 1.0,
MoraleEffectMult = 1.0,
Armor = [0,0],
疲劳RecoveryRate = 15</t>
  </si>
  <si>
    <t>XP = 175,
ActionPoints = 9,
生命值 = 70,
决心 = 70,
Stamina = 120,
MeleeSkill = 55,
RangedSkill = 50,
MeleeDefense = 0,
RangedDefense = 10,
主动 = 115,
疲劳EffectMult = 1.0,
MoraleEffectMult = 1.0,
Armor = [0,0],
疲劳RecoveryRate = 15</t>
  </si>
  <si>
    <t>XP = 250,
ActionPoints = 9,
生命值 = 120,
决心 = 80,
Stamina = 130,
MeleeSkill = 65,
RangedSkill = 60,
MeleeDefense = 10,
RangedDefense = 10,
主动 = 115,
疲劳EffectMult = 1.0,
MoraleEffectMult = 1.0,
Armor = [0,0],
疲劳RecoveryRate = 15</t>
  </si>
  <si>
    <t>XP = 250,
ActionPoints = 9,
生命值 = 90,
决心 = 80,
Stamina = 150,
MeleeSkill = 65,
RangedSkill = 40,
MeleeDefense = 15,
RangedDefense = 5,
主动 = 90,
疲劳EffectMult = 1.0,
MoraleEffectMult = 1.0,
Armor = [0,0],
疲劳RecoveryRate = 15</t>
  </si>
  <si>
    <t>XP = 350,
ActionPoints = 9,
生命值 = 130,
决心 = 90,
Stamina = 140,
MeleeSkill = 75,
RangedSkill = 60,
MeleeDefense = 15,
RangedDefense = 0,
主动 = 115,
疲劳EffectMult = 1.0,
MoraleEffectMult = 1.0,
Armor = [0,0],
疲劳RecoveryRate = 15</t>
  </si>
  <si>
    <t>XP = 250,
ActionPoints = 9,
生命值 = 70,
决心 = 90,
Stamina = 120,
MeleeSkill = 65,
RangedSkill = 55,
MeleeDefense = 10,
RangedDefense = 10,
主动 = 110,
疲劳EffectMult = 1.0,
MoraleEffectMult = 1.0,
Armor = [0,0],
疲劳RecoveryRate = 15</t>
  </si>
  <si>
    <t>XP = 500,
ActionPoints = 9,
生命值 = 150,
决心 = 110,
Stamina = 150,
MeleeSkill = 80,
RangedSkill = 65,
MeleeDefense = 15,
RangedDefense = 0,
主动 = 115,
疲劳EffectMult = 1.0,
MoraleEffectMult = 1.0,
Armor = [0,0],
疲劳RecoveryRate = 15</t>
  </si>
  <si>
    <t>XP = 500,
ActionPoints = 9,
生命值 = 160,
决心 = 100,
Stamina = 200,
MeleeSkill = 80,
RangedSkill = 0,
MeleeDefense = 10,
RangedDefense = 0,
主动 = 115,
疲劳EffectMult = 1.0,
MoraleEffectMult = 1.0,
Armor = [0,0],
疲劳RecoveryRate = 15</t>
  </si>
  <si>
    <t>XP = 450,
ActionPoints = 9,
生命值 = 80,
决心 = 160,
Stamina = 80,
MeleeSkill = 0,
RangedSkill = 0,
MeleeDefense = 5,
RangedDefense = 5,
主动 = 100,
疲劳EffectMult = 1.0,
MoraleEffectMult = 1.0,
疲劳RecoveryRate = 15,
Vision = 8,
Armor = [25,0]</t>
  </si>
  <si>
    <t>XP = 2500,
ActionPoints = 9,
生命值 = 3800,
决心 = 999,
Stamina = 999,
MeleeSkill = 999,
RangedSkill = 0,
MeleeDefense = -15,
RangedDefense = -15,
主动 = -300,
疲劳EffectMult = 1.0,
MoraleEffectMult = 1.0,
疲劳RecoveryRate = 25,
Armor = [1600,1600]</t>
  </si>
  <si>
    <t>XP = 200,
ActionPoints = 9,
生命值 = 300,
决心 = 60,
Stamina = 999,
MeleeSkill = 80,
RangedSkill = 0,
MeleeDefense = 25,
RangedDefense = 25,
主动 = 100,
疲劳EffectMult = 1.0,
MoraleEffectMult = 1.0,
疲劳RecoveryRate = 25,</t>
  </si>
  <si>
    <t>XP = 800,
ActionPoints = 7,
生命值 = 1100,
决心 = 180,
Stamina = 400,
MeleeSkill = 75,
RangedSkill = 0,
MeleeDefense = 10,
RangedDefense = -10,
主动 = 80,
疲劳EffectMult = 1.0,
MoraleEffectMult = 1.0,
疲劳RecoveryRate = 30,
Armor = [400,200]</t>
  </si>
  <si>
    <t>XP = 150,
ActionPoints = 8,
生命值 = 110,
决心 = 999,
Stamina = 400,
MeleeSkill = 65,
RangedSkill = 60,
MeleeDefense = -5,
RangedDefense = -5,
主动 = 60,
疲劳EffectMult = 1.0,
MoraleEffectMult = 1.0,
疲劳RecoveryRate = 25,
Armor = [110,110]</t>
  </si>
  <si>
    <t>XP = 150,
ActionPoints = 8,
生命值 = 220,
决心 = 999,
Stamina = 400,
MeleeSkill = 75,
RangedSkill = 70,
MeleeDefense = 0,
RangedDefense = -10,
主动 = 50,
疲劳EffectMult = 1.0,
MoraleEffectMult = 1.0,
疲劳RecoveryRate = 25,
Armor = [220,220]</t>
  </si>
  <si>
    <t>XP = 150,
ActionPoints = 8,
生命值 = 440,
决心 = 999,
Stamina = 400,
MeleeSkill = 80,
RangedSkill = 80,
MeleeDefense = 10,
RangedDefense = -15,
主动 = 40,
疲劳EffectMult = 1.0,
MoraleEffectMult = 1.0,
疲劳RecoveryRate = 25,
Armor = [440,440]</t>
  </si>
  <si>
    <t>Size = 2
生命值 += 110;
MeleeSkill += 10;
RangedSkill += 10;
MeleeDefense += 5;
RangedDefense -= 5;
主动 -= 10;
ArmorMult[0] *= 2.0;
ArmorMult[1] *= 2.0;
Size = 3
生命值 += 330;
MeleeSkill += 15;
RangedSkill += 20;
MeleeDefense += 10;
RangedDefense -= 10;
主动 -= 20;
ArmorMult[0] *= 4.0;
ArmorMult[1] *= 4.0;
DamageRegularMin += 35 * size;
DamageRegularMax += 45 * size;
DamageArmorMult *= 0.6 + 0.05 * (size - 1);</t>
  </si>
  <si>
    <t>XP = 600,
ActionPoints = 7,
生命值 = 600,
决心 = 200,
Stamina = 400,
MeleeSkill = 70,
RangedSkill = 0,
MeleeDefense = -5,
RangedDefense = -5,
主动 = 60,
疲劳EffectMult = 1.0,
MoraleEffectMult = 1.0,
疲劳RecoveryRate = 25,</t>
  </si>
  <si>
    <t>XP = 50,
ActionPoints = 7,
生命值 = 75,
决心 = 150,
Stamina = 400,
MeleeSkill = 80,
RangedSkill = 0,
MeleeDefense = 15,
RangedDefense = 15,
主动 = 80,
疲劳EffectMult = 1.0,
MoraleEffectMult = 1.0,
疲劳RecoveryRate = 15,</t>
  </si>
  <si>
    <t>XP = 1500,
ActionPoints = 9,
生命值 = 2200,
决心 = 999,
Stamina = 400,
MeleeSkill = 95,
RangedSkill = 0,
MeleeDefense = 20,
RangedDefense = 15,
主动 = 95,
疲劳EffectMult = 1.0,
MoraleEffectMult = 1.0,
疲劳RecoveryRate = 30,
Armor = [140,140]</t>
  </si>
  <si>
    <t>XP = 400,
ActionPoints = 9,
生命值 = 500,
决心 = 130,
Stamina = 400,
MeleeSkill = 70,
RangedSkill = 0,
MeleeDefense = 10,
RangedDefense = 0,
主动 = 75,
疲劳EffectMult = 1.0,
MoraleEffectMult = 1.0,
疲劳RecoveryRate = 30,</t>
  </si>
  <si>
    <t>XP = 400,
ActionPoints = 9,
生命值 = 500,
决心 = 130,
Stamina = 400,
MeleeSkill = 70,
RangedSkill = 0,
MeleeDefense = 10,
RangedDefense = 5,
主动 = 75,
疲劳EffectMult = 1.0,
MoraleEffectMult = 1.0,
疲劳RecoveryRate = 30,</t>
  </si>
  <si>
    <t>XP = 450,
ActionPoints = 9,
生命值 = 600,
决心 = 150,
Stamina = 400,
MeleeSkill = 75,
RangedSkill = 0,
MeleeDefense = 10,
RangedDefense = 0,
主动 = 85,
疲劳EffectMult = 1.0,
MoraleEffectMult = 1.0,
疲劳RecoveryRate = 30,
Armor = [90,90]</t>
  </si>
  <si>
    <t>XP = 300,
ActionPoints = 10,
生命值 = 100,
决心 = 100,
Stamina = 100,
MeleeSkill = 0,
RangedSkill = 0,
MeleeDefense = 10,
RangedDefense = 10,
主动 = 60,
疲劳EffectMult = 1.0,
MoraleEffectMult = 1.0,
疲劳RecoveryRate = 15,
Vision = 7,</t>
  </si>
  <si>
    <t>XP = 250,
ActionPoints = 12,
生命值 = 130,
决心 = 50,
Stamina = 180,
MeleeSkill = 70,
RangedSkill = 0,
MeleeDefense = 15,
RangedDefense = 15,
主动 = 150,
疲劳EffectMult = 1.0,
MoraleEffectMult = 1.0,
疲劳RecoveryRate = 20,
Armor = [30,30]</t>
  </si>
  <si>
    <t>XP = 250,
ActionPoints = 12,
生命值 = 150,
决心 = 70,
Stamina = 180,
MeleeSkill = 65,
RangedSkill = 0,
MeleeDefense = 10,
RangedDefense = 10,
主动 = 150,
疲劳EffectMult = 1.0,
MoraleEffectMult = 1.0,
疲劳RecoveryRate = 20,
Armor = [30,30]</t>
  </si>
  <si>
    <t>XP = 300,
ActionPoints = 12,
生命值 = 150,
决心 = 70,
Stamina = 180,
MeleeSkill = 75,
RangedSkill = 0,
MeleeDefense = 20,
RangedDefense = 20,
主动 = 150,
疲劳EffectMult = 1.0,
MoraleEffectMult = 1.0,
疲劳RecoveryRate = 20,
Armor = [30,30]</t>
  </si>
  <si>
    <t>XP = 125,
ActionPoints = 9,
生命值 = 80,
决心 = 50,
Stamina = 130,
MeleeSkill = 60,
RangedSkill = 0,
MeleeDefense = 10,
RangedDefense = 15,
主动 = 125,
疲劳EffectMult = 1.0,
MoraleEffectMult = 1.0,
Armor = [0,0]</t>
  </si>
  <si>
    <t>XP = 250,
ActionPoints = 9,
生命值 = 200,
决心 = 80,
Stamina = 130,
MeleeSkill = 70,
RangedSkill = 0,
MeleeDefense = 15,
RangedDefense = 10,
主动 = 110,
疲劳EffectMult = 1.0,
MoraleEffectMult = 1.0,
Armor = [0,0]</t>
  </si>
  <si>
    <t>XP = 375,
ActionPoints = 9,
生命值 = 380,
决心 = 110,
Stamina = 130,
MeleeSkill = 80,
RangedSkill = 0,
MeleeDefense = 20
RangedDefense = 5,
主动 = 95,
疲劳EffectMult = 1.0,
MoraleEffectMult = 1.0,
Armor = [0,0]</t>
  </si>
  <si>
    <t>XP = 250,
ActionPoints = 14,
生命值 = 140,
决心 = 70,
Stamina = 180,
MeleeSkill = 70,
RangedSkill = 0,
MeleeDefense = 15,
RangedDefense = 15,
主动 = 130,
疲劳EffectMult = 1.0,
MoraleEffectMult = 1.0,
疲劳RecoveryRate = 20,
Armor = [20,20]</t>
  </si>
  <si>
    <t>XP = 300,
ActionPoints = 14,
生命值 = 140,
决心 = 70,
Stamina = 180,
MeleeSkill = 75,
RangedSkill = 0,
MeleeDefense = 20,
RangedDefense = 20,
主动 = 130,
疲劳EffectMult = 1.0,
MoraleEffectMult = 1.0,
疲劳RecoveryRate = 20,
Armor = [20,20]</t>
  </si>
  <si>
    <t>XP = 175,
ActionPoints = 9,
生命值 = 130,
决心 = 100,
Stamina = 110,
MeleeSkill = 65,
RangedSkill = 0,
MeleeDefense = 15,
RangedDefense = 25,
主动 = 50,
疲劳EffectMult = 1.0,
MoraleEffectMult = 1.0,
疲劳RecoveryRate = 15,
Armor = [40,40]</t>
  </si>
  <si>
    <t>XP = 100,
ActionPoints = 11,
生命值 = 60,
决心 = 45,
Stamina = 130,
MeleeSkill = 60,
RangedSkill = 0,
MeleeDefense = 15,
RangedDefense = 25,
主动 = 150,
疲劳EffectMult = 1.0,
MoraleEffectMult = 1.0,
疲劳RecoveryRate = 20,
Armor = [20,20]</t>
  </si>
  <si>
    <t>XP = 100,
ActionPoints = 12,
生命值 = 40,
决心 = 40,
Stamina = 150,
MeleeSkill = 65,
RangedSkill = 0,
MeleeDefense = 15,
RangedDefense = 10,
主动 = 140,
疲劳EffectMult = 1.0,
MoraleEffectMult = 1.0,
Armor = [0,0],
疲劳RecoveryRate = 20</t>
  </si>
  <si>
    <t>XP = 50,
ActionPoints = 9,
生命值 = 50,
决心 = 35,
Stamina = 100,
MeleeSkill = 40,
RangedSkill = 30,
MeleeDefense = 0,
RangedDefense = 0,
主动 = 90,
疲劳EffectMult = 1.0,
MoraleEffectMult = 1.0,
Armor = [0,0],
疲劳RecoveryRate = 15</t>
  </si>
  <si>
    <t>XP = 125,
ActionPoints = 9,
生命值 = 60,
决心 = 40,
Stamina = 120,
MeleeSkill = 55,
RangedSkill = 30,
MeleeDefense = 5,
RangedDefense = 5,
主动 = 100,
疲劳EffectMult = 1.0,
MoraleEffectMult = 1.0,
Armor = [0,0],
疲劳RecoveryRate = 15</t>
  </si>
  <si>
    <t>XP = 150,
ActionPoints = 9,
生命值 = 60,
决心 = 80,
Stamina = 110,
MeleeSkill = 60,
RangedSkill = 40,
MeleeDefense = 10,
RangedDefense = 10,
主动 = 110,
疲劳EffectMult = 1.0,
MoraleEffectMult = 1.0,
Armor = [0,0],
疲劳RecoveryRate = 15</t>
  </si>
  <si>
    <t>XP = 0,
ActionPoints = 9,
生命值 = 50,
决心 = 40,
Stamina = 100,
MeleeSkill = 40,
RangedSkill = 30,
MeleeDefense = 0,
RangedDefense = 0,
主动 = 100,
疲劳EffectMult = 1.0,
MoraleEffectMult = 1.0,
Armor = [0,0],
疲劳RecoveryRate = 15</t>
  </si>
  <si>
    <t>XP = 300,
ActionPoints = 9,
生命值 = 80,
决心 = 65,
Stamina = 125,
MeleeSkill = 75,
RangedSkill = 60,
MeleeDefense = 15,
RangedDefense = 8,
主动 = 120,
疲劳EffectMult = 1.0,
MoraleEffectMult = 1.0,
Armor = [0,0],
疲劳RecoveryRate = 20</t>
  </si>
  <si>
    <t>XP = 250,
ActionPoints = 9,
生命值 = 60,
决心 = 65,
Stamina = 115,
MeleeSkill = 50,
RangedSkill = 70,
MeleeDefense = 10,
RangedDefense = 10,
主动 = 125,
疲劳EffectMult = 1.0,
MoraleEffectMult = 1.0,
Armor = [0,0],
疲劳RecoveryRate = 20</t>
  </si>
  <si>
    <t>XP = 350,
ActionPoints = 9,
生命值 = 90,
决心 = 70,
Stamina = 135,
MeleeSkill = 75,
RangedSkill = 65,
MeleeDefense = 20,
RangedDefense = 10,
主动 = 125,
疲劳EffectMult = 1.0,
MoraleEffectMult = 1.0,
Armor = [0,0],
疲劳RecoveryRate = 20</t>
  </si>
  <si>
    <t>XP = 300,
ActionPoints = 9,
生命值 = 65,
决心 = 70,
Stamina = 135,
MeleeSkill = 65,
RangedSkill = 75,
MeleeDefense = 10,
RangedDefense = 15,
主动 = 125,
疲劳EffectMult = 1.0,
MoraleEffectMult = 1.0,
Armor = [0,0],
疲劳RecoveryRate = 20</t>
  </si>
  <si>
    <t>XP = 375,
ActionPoints = 9,
生命值 = 125,
决心 = 130,
Stamina = 145,
MeleeSkill = 80,
RangedSkill = 50,
MeleeDefense = 20,
RangedDefense = 5,
主动 = 135,
疲劳EffectMult = 1.0,
MoraleEffectMult = 1.0,
Armor = [0,0],
疲劳RecoveryRate = 25</t>
  </si>
  <si>
    <t>XP = 550,
ActionPoints = 9,
生命值 = 150,
决心 = 90,
Stamina = 160,
MeleeSkill = 90,
RangedSkill = 50,
MeleeDefense = 25,
RangedDefense = 0,
主动 = 105,
疲劳EffectMult = 1.0,
MoraleEffectMult = 1.0,
Armor = [0,0],
疲劳RecoveryRate = 15</t>
  </si>
  <si>
    <t>XP = 550,
ActionPoints = 9,
生命值 = 80,
决心 = 70,
Stamina = 135,
MeleeSkill = 65,
RangedSkill = 90,
MeleeDefense = 15,
RangedDefense = 45,
主动 = 140,
疲劳EffectMult = 1.0,
MoraleEffectMult = 1.0,
Armor = [0,0],
疲劳RecoveryRate = 15</t>
  </si>
  <si>
    <t>XP = 550,
ActionPoints = 9,
生命值 = 80,
决心 = 90,
Stamina = 130,
MeleeSkill = 100,
RangedSkill = 50,
MeleeDefense = 60,
RangedDefense = 20,
主动 = 130,
疲劳EffectMult = 1.0,
MoraleEffectMult = 1.0,
Armor = [0,0],
疲劳RecoveryRate = 15</t>
  </si>
  <si>
    <t>XP = 200,
ActionPoints = 9,
生命值 = 40,
决心 = 55,
Stamina = 100,
MeleeSkill = 75,
RangedSkill = 65,
MeleeDefense = 20,
RangedDefense = 20,
主动 = 130,
疲劳EffectMult = 1.0,
MoraleEffectMult = 1.0,
Armor = [0,0],
疲劳RecoveryRate = 15</t>
  </si>
  <si>
    <t>XP = 250,
ActionPoints = 9,
生命值 = 40,
决心 = 45,
Stamina = 100,
MeleeSkill = 60,
RangedSkill = 75,
MeleeDefense = 10,
RangedDefense = 35,
主动 = 140,
疲劳EffectMult = 1.0,
MoraleEffectMult = 1.0,
Armor = [0,0],
疲劳RecoveryRate = 15</t>
  </si>
  <si>
    <t>XP = 150,
ActionPoints = 13,
生命值 = 60,
决心 = 60,
Stamina = 150,
MeleeSkill = 75,
RangedSkill = 50,
MeleeDefense = 15,
RangedDefense = 25,
主动 = 130,
疲劳EffectMult = 1.0,
MoraleEffectMult = 1.0,
Armor = [0,0],
疲劳RecoveryRate = 20</t>
  </si>
  <si>
    <t>XP = 350,
ActionPoints = 9,
生命值 = 70,
决心 = 70,
Stamina = 90,
MeleeSkill = 60,
RangedSkill = 60,
MeleeDefense = 10,
RangedDefense = 35,
主动 = 110,
疲劳EffectMult = 1.0,
MoraleEffectMult = 1.0,
Armor = [0,0],
疲劳RecoveryRate = 15</t>
  </si>
  <si>
    <t>XP = 400,
ActionPoints = 9,
生命值 = 70,
决心 = 70,
Stamina = 130,
MeleeSkill = 75,
RangedSkill = 80,
MeleeDefense = 15,
RangedDefense = 35,
主动 = 120,
疲劳EffectMult = 1.0,
MoraleEffectMult = 1.0,
Armor = [0,0],
疲劳RecoveryRate = 15</t>
  </si>
  <si>
    <t>XP = 100,
ActionPoints = 9,
生命值 = 50,
决心 = 40,
Stamina = 100,
MeleeSkill = 50,
RangedSkill = 35,
MeleeDefense = 0,
RangedDefense = 0,
主动 = 90,
疲劳EffectMult = 1.0,
MoraleEffectMult = 1.0,
Armor = [0,0],
疲劳RecoveryRate = 15</t>
  </si>
  <si>
    <t>XP = 100,
ActionPoints = 9,
生命值 = 50,
决心 = 40,
Stamina = 100,
MeleeSkill = 40,
RangedSkill = 50,
MeleeDefense = 0,
RangedDefense = 0,
主动 = 100,
疲劳EffectMult = 1.0,
MoraleEffectMult = 1.0,
Armor = [0,0],
疲劳RecoveryRate = 15</t>
  </si>
  <si>
    <t>XP = 200,
ActionPoints = 9,
生命值 = 70,
决心 = 70,
Stamina = 120,
MeleeSkill = 65,
RangedSkill = 50,
MeleeDefense = 10,
RangedDefense = 0,
主动 = 120,
疲劳EffectMult = 1.0,
MoraleEffectMult = 1.0,
Armor = [0,0],
疲劳RecoveryRate = 15</t>
  </si>
  <si>
    <t>XP = 250,
ActionPoints = 9,
生命值 = 80,
决心 = 80,
Stamina = 130,
MeleeSkill = 70,
RangedSkill = 50,
MeleeDefense = 15,
RangedDefense = 0,
主动 = 130,
疲劳EffectMult = 1.0,
MoraleEffectMult = 1.0,
Armor = [0,0],
疲劳RecoveryRate = 15</t>
  </si>
  <si>
    <t>XP = 300,
ActionPoints = 9,
生命值 = 70,
决心 = 60,
Stamina = 120,
MeleeSkill = 70,
RangedSkill = 50,
MeleeDefense = 10,
RangedDefense = 0,
主动 = 110,
疲劳EffectMult = 1.0,
MoraleEffectMult = 1.0,
Armor = [0,0],
疲劳RecoveryRate = 15</t>
  </si>
  <si>
    <t>XP = 400,
ActionPoints = 9,
生命值 = 80,
决心 = 70,
Stamina = 130,
MeleeSkill = 75,
RangedSkill = 50,
MeleeDefense = 15,
RangedDefense = 0,
主动 = 120,
疲劳EffectMult = 1.0,
MoraleEffectMult = 1.0,
Armor = [0,0],
疲劳RecoveryRate = 15</t>
  </si>
  <si>
    <t>XP = 300,
ActionPoints = 9,
生命值 = 70,
决心 = 60,
Stamina = 100,
MeleeSkill = 75,
RangedSkill = 50,
MeleeDefense = 10,
RangedDefense = 5,
主动 = 100,
疲劳EffectMult = 1.0,
MoraleEffectMult = 1.0,
Armor = [0,0],
疲劳RecoveryRate = 15</t>
  </si>
  <si>
    <t>XP = 400,
ActionPoints = 9,
生命值 = 80,
决心 = 70,
Stamina = 120,
MeleeSkill = 80,
RangedSkill = 50,
MeleeDefense = 10,
RangedDefense = 10,
主动 = 110,
疲劳EffectMult = 1.0,
MoraleEffectMult = 1.0,
Armor = [0,0],
疲劳RecoveryRate = 15</t>
  </si>
  <si>
    <t>XP = 300,
ActionPoints = 9,
生命值 = 60,
决心 = 60,
Stamina = 100,
MeleeSkill = 55,
RangedSkill = 70,
MeleeDefense = 5,
RangedDefense = 10,
主动 = 110,
疲劳EffectMult = 1.0,
MoraleEffectMult = 1.0,
Armor = [0,0],
疲劳RecoveryRate = 15</t>
  </si>
  <si>
    <t>XP = 350,
ActionPoints = 9,
生命值 = 70,
决心 = 60,
Stamina = 110,
MeleeSkill = 55,
RangedSkill = 70,
MeleeDefense = 5,
RangedDefense = 10,
主动 = 120,
疲劳EffectMult = 1.0,
MoraleEffectMult = 1.0,
Armor = [0,0],
疲劳RecoveryRate = 15</t>
  </si>
  <si>
    <t>XP = 475, 
ActionPoints = 9,
生命值 = 90, 
决心 = 70, 
Stamina = 120, 
MeleeSkill = 85, 
RangedSkill = 50, 
MeleeDefense = 20, 
RangedDefense = 0, 
主动 = 110, 
疲劳EffectMult = 1.0, 
MoraleEffectMult = 1.0, 
Armor = [0,0], 
疲劳RecoveryRate = 15</t>
  </si>
  <si>
    <t>XP = 475,
ActionPoints = 9,
生命值 = 90,
决心 = 70,
Stamina = 115,
MeleeSkill = 85,
RangedSkill = 50,
MeleeDefense = 20,
RangedDefense = 0,
主动 = 115,
疲劳EffectMult = 1.0,
MoraleEffectMult = 1.0,
Armor = [0,0],
疲劳RecoveryRate = 15</t>
  </si>
  <si>
    <t>XP = 475,
ActionPoints = 9,
生命值 = 60,
决心 = 70,
Stamina = 120,
MeleeSkill = 85,
RangedSkill = 50,
MeleeDefense = 20,
RangedDefense = 0,
主动 = 130,
疲劳EffectMult = 1.0,
MoraleEffectMult = 1.0,
Armor = [0,0],
疲劳RecoveryRate = 15</t>
  </si>
  <si>
    <t>XP = 550,
ActionPoints = 9,
生命值 = 120,
决心 = 90,
Stamina = 140,
MeleeSkill = 90,
RangedSkill = 60,
MeleeDefense = 20,
RangedDefense = 0,
主动 = 130,
疲劳EffectMult = 1.0,
MoraleEffectMult = 1.0,                                
Armor = [0,0],
疲劳RecoveryRate = 15</t>
  </si>
  <si>
    <t>XP = 300,
ActionPoints = 9,
生命值 = 80,
决心 = 90,
Stamina = 115,
MeleeSkill = 65,
RangedSkill = 50,
MeleeDefense = 10,
RangedDefense = 10,
主动 = 105,
疲劳EffectMult = 1.0,
MoraleEffectMult = 1.0,
Armor = [0,0],
疲劳RecoveryRate = 15</t>
  </si>
  <si>
    <t>XP = 400,
ActionPoints = 9,
生命值 = 80,
决心 = 90,
Stamina = 125,
MeleeSkill = 75,
RangedSkill = 50,
MeleeDefense = 15,
RangedDefense = 15,
主动 = 115,
疲劳EffectMult = 1.0,
MoraleEffectMult = 1.0,
Armor = [0,0],
疲劳RecoveryRate = 15</t>
  </si>
  <si>
    <t>XP = 400,
ActionPoints = 9,
生命值 = 120,
决心 = 80,
Stamina = 130,
MeleeSkill = 80,
RangedSkill = 60,
MeleeDefense = 25,
RangedDefense = 15,
主动 = 110,
疲劳EffectMult = 1.0,
MoraleEffectMult = 1.0,
Armor = [0,0],
疲劳RecoveryRate = 15</t>
  </si>
  <si>
    <t>XP = 550,
ActionPoints = 9,
生命值 = 150,
决心 = 100,
Stamina = 140,
MeleeSkill = 90,
RangedSkill = 60,
MeleeDefense = 30,
RangedDefense = 20,
主动 = 120,
疲劳EffectMult = 1.0,
MoraleEffectMult = 1.0,
Armor = [0,0],
疲劳RecoveryRate = 15</t>
  </si>
  <si>
    <t>XP = 600,
ActionPoints = 9,
生命值 = 135,
决心 = 100,
Stamina = 150,
MeleeSkill = 90,
RangedSkill = 60,
MeleeDefense = 20,
RangedDefense = 0,
主动 = 110,
疲劳EffectMult = 1.0,
MoraleEffectMult = 1.0,                                
Armor = [0,0],
疲劳RecoveryRate = 15</t>
  </si>
  <si>
    <t>XP = 800,
ActionPoints = 9,
生命值 = 150,
决心 = 120,
Stamina = 170,
MeleeSkill = 90,
RangedSkill = 60,
MeleeDefense = 25,
RangedDefense = 0,
主动 = 120,
疲劳EffectMult = 1.0,
MoraleEffectMult = 1.0,                                
Armor = [0,0],
疲劳RecoveryRate = 15</t>
  </si>
  <si>
    <t>XP = 350,
ActionPoints = 9,
生命值 = 80,
决心 = 60,
Stamina = 120,
MeleeSkill = 65,
RangedSkill = 50,
MeleeDefense = 10,
RangedDefense = 0,
主动 = 120,
疲劳EffectMult = 1.0,
MoraleEffectMult = 1.0,
Armor = [0,0],
疲劳RecoveryRate = 15</t>
  </si>
  <si>
    <t>XP = 175,
ActionPoints = 9,
生命值 = 55,
决心 = 45,
Stamina = 100,
MeleeSkill = 50,
RangedSkill = 45,
MeleeDefense = 0,
RangedDefense = 0,
主动 = 95,
疲劳EffectMult = 1.0,
MoraleEffectMult = 1.0,
Armor = [0,0],
疲劳RecoveryRate = 15</t>
  </si>
  <si>
    <t>NOMAD SLINGER
XP = 175,
ActionPoints = 9,
生命值 = 55,
决心 = 45,
Stamina = 100,
MeleeSkill = 50,
RangedSkill = 60,
MeleeDefense = 0,
RangedDefense = 10,
主动 = 95,
疲劳EffectMult = 1.0,
MoraleEffectMult = 1.0,
Armor = [0,0],
疲劳RecoveryRate = 15</t>
  </si>
  <si>
    <t>XP = 225,
ActionPoints = 9,
生命值 = 60,
决心 = 55,
Stamina = 115,
MeleeSkill = 50,
RangedSkill = 65,
MeleeDefense = 5,
RangedDefense = 15,
主动 = 110,
疲劳EffectMult = 1.0,
MoraleEffectMult = 1.0,
Armor = [0,0],
疲劳RecoveryRate = 15</t>
  </si>
  <si>
    <t>XP = 250,
ActionPoints = 9,
生命值 = 75,
决心 = 60,
Stamina = 125,
MeleeSkill = 65,
RangedSkill = 55,
MeleeDefense = 15,
RangedDefense = 0,
主动 = 115,
疲劳EffectMult = 1.0,
MoraleEffectMult = 1.0,
Armor = [0,0],
疲劳RecoveryRate = 15</t>
  </si>
  <si>
    <t>XP = 375,
ActionPoints = 9,
生命值 = 100,
决心 = 75,
Stamina = 130,
MeleeSkill = 75,
RangedSkill = 65,
MeleeDefense = 20,
RangedDefense = 0,
主动 = 125,
疲劳EffectMult = 1.0,
MoraleEffectMult = 1.0,
Armor = [0,0],
疲劳RecoveryRate = 15</t>
  </si>
  <si>
    <t>XP = 450,
ActionPoints = 9,
生命值 = 90,
决心 = 90,
Stamina = 130,
MeleeSkill = 90,
RangedSkill = 50,
MeleeDefense = 50,
RangedDefense = 15,
主动 = 125,
疲劳EffectMult = 1.0,
MoraleEffectMult = 1.0,
Armor = [0,0],
疲劳RecoveryRate = 15</t>
  </si>
  <si>
    <t>DESERT STALKER
XP = 450,
ActionPoints = 9,
生命值 = 80,
决心 = 70,
Stamina = 135,
MeleeSkill = 65,
RangedSkill = 85,
MeleeDefense = 15,
RangedDefense = 25,
主动 = 140,
疲劳EffectMult = 1.0,
MoraleEffectMult = 1.0,
Armor = [0,0],
疲劳RecoveryRate = 15</t>
  </si>
  <si>
    <t>XP = 450,
ActionPoints = 9,
生命值 = 170,
决心 = 90,
Stamina = 160,
MeleeSkill = 85,
RangedSkill = 50,
MeleeDefense = 30,
RangedDefense = 0,
主动 = 115,
疲劳EffectMult = 1.0,
MoraleEffectMult = 1.0,
Armor = [0,0],
疲劳RecoveryRate = 15</t>
  </si>
  <si>
    <t>ORC YOUNG
XP = 250,
ActionPoints = 9,
生命值 = 125,
决心 = 65,
Stamina = 150,
MeleeSkill = 60,
RangedSkill = 50,
MeleeDefense = -5,
RangedDefense = -5,
主动 = 120,
疲劳EffectMult = 1.0,
MoraleEffectMult = 1.0,
Armor = [0,0],
疲劳RecoveryRate = 25,
DamageTotalMult = 1.15</t>
  </si>
  <si>
    <t>ORC BERSERKER
XP = 350,
ActionPoints = 9,
生命值 = 250,
决心 = 90,
Stamina = 200,
MeleeSkill = 70,
RangedSkill = 30,
MeleeDefense = 5,
RangedDefense = 5,
主动 = 125,
疲劳EffectMult = 1.0,
MoraleEffectMult = 1.0,
Armor = [0,0],
疲劳RecoveryRate = 35,
DamageTotalMult = 1.2</t>
  </si>
  <si>
    <t>ORC WARRIOR 
XP = 400,
ActionPoints = 8,
生命值 = 200,
决心 = 75,
Stamina = 200,
MeleeSkill = 70,
RangedSkill = 40,
MeleeDefense = -10,
RangedDefense = -10,
主动 = 120,
疲劳EffectMult = 1.0,
MoraleEffectMult = 1.0,
Armor = [0,0],
疲劳RecoveryRate = 30,
DamageTotalMult = 1.25</t>
  </si>
  <si>
    <t>XP = 500,
ActionPoints = 8,
生命值 = 300,
决心 = 90,
Stamina = 250,
MeleeSkill = 80,
RangedSkill = 40,
MeleeDefense = -10,
RangedDefense = -10,
主动 = 125,
疲劳EffectMult = 1.0,
MoraleEffectMult = 1.0,
Armor = [0,0],
疲劳RecoveryRate = 30,
DamageTotalMult = 1.35</t>
  </si>
  <si>
    <t>XP = 150,
ActionPoints = 9,
生命值 = 70,
决心 = 70,
Stamina = 120,
MeleeSkill = 60,
RangedSkill = 50,
MeleeDefense = 0,
RangedDefense = 5,
主动 = 100,
疲劳EffectMult = 1.0,
MoraleEffectMult = 1.0,
Armor = [0,0],
疲劳RecoveryRate = 15</t>
  </si>
  <si>
    <t>XP = 50,
ActionPoints = 9,
生命值 = 55,
决心 = 40,
Stamina = 100,
MeleeSkill = 45,
RangedSkill = 35,
MeleeDefense = 5,
RangedDefense = 5,
主动 = 90,
疲劳EffectMult = 1.0,
MoraleEffectMult = 1.0,
Armor = [0,0],
疲劳RecoveryRate = 15</t>
  </si>
  <si>
    <t>XP = 250,
ActionPoints = 9,
生命值 = 55,
决心 = 70,
Stamina = 120,
MeleeSkill = 60,
RangedSkill = 50,
MeleeDefense = 0,
RangedDefense = 0,
主动 = 110,
疲劳EffectMult = 1.0,
MoraleEffectMult = 1.0,
Armor = [0,0],
疲劳RecoveryRate = 15</t>
  </si>
  <si>
    <t>XP = 250,
ActionPoints = 9,
生命值 = 70,
决心 = 70,
Stamina = 120,
MeleeSkill = 65,
RangedSkill = 75,
MeleeDefense = 5,
RangedDefense = 20,
主动 = 120,
疲劳EffectMult = 1.0,
MoraleEffectMult = 1.0,
Armor = [0,0],
疲劳RecoveryRate = 15</t>
  </si>
  <si>
    <t>XP = 350,
ActionPoints = 9,
生命值 = 80,
决心 = 85,
Stamina = 125,
MeleeSkill = 80,
RangedSkill = 70,
MeleeDefense = 20,
RangedDefense = 20,
主动 = 130,
疲劳EffectMult = 1.0,
MoraleEffectMult = 1.0,
Armor = [0,0],
疲劳RecoveryRate = 15</t>
  </si>
  <si>
    <t>XP = 350,
ActionPoints = 9,
生命值 = 110,
决心 = 90,
Stamina = 135,
MeleeSkill = 75,
RangedSkill = 65,
MeleeDefense = 20,
RangedDefense = 0,
主动 = 125,
疲劳EffectMult = 1.0,
MoraleEffectMult = 1.0,
Armor = [0,0],
疲劳RecoveryRate = 15</t>
  </si>
  <si>
    <t>XP = 350,
ActionPoints = 9,
生命值 = 110,
决心 = 80,
Stamina = 130,
MeleeSkill = 85,
RangedSkill = 60,
MeleeDefense = 25,
RangedDefense = 0,
主动 = 110,
疲劳EffectMult = 1.0,
MoraleEffectMult = 1.0,
Armor = [0,0],
疲劳RecoveryRate = 15</t>
  </si>
  <si>
    <t>XP = 100,
ActionPoints = 6,
生命值 = 100,
决心 = 100,
Stamina = 100,
MeleeSkill = 45,
RangedSkill = 5,
MeleeDefense = -5,
RangedDefense = -5,
主动 = 45,
疲劳EffectMult = 0.0,
MoraleEffectMult = 0.0,
Armor = [0,0]</t>
  </si>
  <si>
    <t>XP = 225,
ActionPoints = 9,
生命值 = 1,
决心 = 110,
Stamina = 100,
MeleeSkill = 65,
RangedSkill = 0,
MeleeDefense = 30,
RangedDefense = 999,
主动 = 95,
疲劳EffectMult = 0.0,
MoraleEffectMult = 0.0,
Armor = [0,0]</t>
  </si>
  <si>
    <t>XP = 400,
ActionPoints = 7,
生命值 = 50,
决心 = 90,
Stamina = 90,
MeleeSkill = 50,
RangedSkill = 0,
MeleeDefense = 5,
RangedDefense = 10,
主动 = 90,
疲劳EffectMult = 1.0,
MoraleEffectMult = 1.0,
Armor = [20,0]</t>
  </si>
  <si>
    <t>XP = 250,
ActionPoints = 8,
生命值 = 180,
决心 = 90,
Stamina = 100,
MeleeSkill = 80,
RangedSkill = 0,
MeleeDefense = 5,
RangedDefense = 0,
主动 = 70,
疲劳EffectMult = 0.0,
MoraleEffectMult = 0.0,
Armor = [0,0]</t>
  </si>
  <si>
    <t>XP = 150,
ActionPoints = 6,
生命值 = 130,
决心 = 100,
Stamina = 100,
MeleeSkill = 50,
RangedSkill = 0,
MeleeDefense = -5,
RangedDefense = -5,
主动 = 45,
疲劳EffectMult = 0.0,
MoraleEffectMult = 0.0,
Armor = [0,0]</t>
  </si>
  <si>
    <t>FALLEN HERO
XP = 250,
ActionPoints = 7,
生命值 = 180,
决心 = 110,
Stamina = 100,
MeleeSkill = 60,
RangedSkill = 0,
MeleeDefense = 5,
RangedDefense = 0,
主动 = 60,
疲劳EffectMult = 0.0,
MoraleEffectMult = 0.0,
Armor = [0,0]</t>
  </si>
  <si>
    <t>XP = 500,
ActionPoints = 9,
生命值 = 275,
决心 = 130,
Stamina = 100,
MeleeSkill = 90,
RangedSkill = 0,
MeleeDefense = 50,
RangedDefense = 999,
主动 = 105,
疲劳EffectMult = 0.0,
MoraleEffectMult = 0.0,
Armor = [0,0]</t>
  </si>
  <si>
    <t>XP = 350,
ActionPoints = 8,
生命值 = 200,
决心 = 110,
Stamina = 100,
MeleeSkill = 80,
RangedSkill = 0,
MeleeDefense = 5,
RangedDefense = 0,
主动 = 70,
疲劳EffectMult = 0.0,
MoraleEffectMult = 0.0,
Armor = [0,0]</t>
  </si>
  <si>
    <t>Onslaught
Unlocks the Onslaught skill, which allows you and nearby members of your company within 4 tiles who are not stunned, sleeping or fleeing to gain +10 近攻, +20 主动 and one use of the Linebreaker skill for one turn. This use of Linebreaker costs 1 less Action Point and builds 10 less 疲劳.
Can only be used once per combat.
Cost: 7 AP 30 Fat</t>
  </si>
  <si>
    <t>Between the Eyes
Unlocks the Between the Eyes skill which can be used to perform your primary attack with an additional chance to hit the head equal to 50% of your 近攻.
The Action Point and 疲劳 cost of your primary melee attack is added to the costs of this skill.</t>
  </si>
  <si>
    <t>近攻</t>
  </si>
  <si>
    <t>Overwhelm
With every attack, hit or miss, against an opponent that acts after you in the current round, inflict the Overwhelmed status effect which lowers both 近攻 and 远攻 by -10% for one turn.
The effect stacks with each attack, up to a maximum of 7 stacks, and can be applied to multiple targets at once with a single attack.</t>
  </si>
  <si>
    <t>锤精通
Skills build up 25% less 疲劳.
Destroy Armor and Demolish Armor inflict 33% more Damage against armor and apply the Dented Armor effect.
Shatter gains +5% chance to hit.
The Pole锤 no longer has a penalty for attacking targets directly adjacent.
Two-handed 锤s gain the Pummel skill.
Dented Armor
If the armor hit with an attack has a Max Condition of 210 or greater, reduce Melee and 远攻 by 10% and Damage by 20%.
This lasts the entire combat or until the target or thier ally uses Adjust Dented Armor. 
Pummel (requires Two Handed 锤)
 Attack an enemy with your 锤's basic attack. A successful hit knocks back and staggers the target.
Move onto the tile the target previously occupied.
Cannot be used while Rooted.
 6 AP 25 Fat</t>
  </si>
  <si>
    <t>远攻</t>
  </si>
  <si>
    <t>Dynamic Duo
Allows you to choose another member of your company as your partner. You will remain partners until one of you dies or leaves the company. Gain the following bonuses when there is no ally next to you or your partner.
Resolve and 主动 are increased by +20.
Gain +10 近攻 against enemies that attack your partner, and +10 近防 against enemies attacked by your partner, for one turn.</t>
  </si>
  <si>
    <t>Pattern Recognition
Every time an opponent attacks you or you attack an opponent, gain a stacking +3 近攻 and 近防 against that opponent for the remainder of the combat.
Once the total bonus reaches 15, all subsequent attacks increase it by +1 only.
Only works when dealing or receiving melee attacks.</t>
  </si>
  <si>
    <t>Precise (requires 剑)
Gain +1 近攻 and 近防 and +1% additional damage ignoring armor per character level.
While wielding a fencing type 剑 an additional 25% of damage ignores armor.</t>
  </si>
  <si>
    <t>Feral Rage (requires Melee Weapon)
Gain stacking rage during combat. You gain 1 stacks for getting hit, 3 for killing a target, and 2 for every successful hit against an adjacent target. You lose 3 rage at the start of every turn. Each stack of rage increases Resolve and 主动 by +2 and Damage by 3%, lowers 近防 by -1 and reduces incoming Damage by 3% to a maximum of 70%.</t>
  </si>
  <si>
    <t>Hybridization
Gain 10% of your 远攻 as additional 近攻 and 近防.
投掷 attacks gain 20% of your current 近攻 as additional chance to hit.
Can switch to or from a 投掷 weapon for free once per turn.</t>
  </si>
  <si>
    <t>近防</t>
  </si>
  <si>
    <t>Anticipation
Take reduced damage from the first 2 attacks you receive each battle.
This reduction is a percentage equal to your current 远防 plus an additional 10% for each tile between the attacker and you.</t>
  </si>
  <si>
    <t>Hold Steady
Unlocks the Hold Steady skill, which allows you and other members of your company within 4 tiles, who are not stunned, sleeping or fleeing to gain +10 近防, +10 远防 and immunity to being stunned, knocked back or grabbed.
Can only be used once per combat.
Cost: 7AP 30 Fat</t>
  </si>
  <si>
    <t>Taunt
Unlocks the Taunt skill which makes the targeted opponent take offensive actions instead of defensive ones, and attack the taunting character over another, potentially more vulnerable one.
When used on an adjacent target, reduce their 近防 and 远防 by 20% of the user's Resolve.</t>
  </si>
  <si>
    <t>Lone Wolf
When no ally of your faction is adjacent to you, gain a +15% bonus to 近攻, 远攻, 近防, 远防, and Resolve.</t>
  </si>
  <si>
    <t>Battle Fervor
Resolve is increased by 10% at all times. Additionally, for positive morale checks, Resolve is increased by a further 10%.
When at Confident Morale, all the bonuses of this perk are doubled, and 近攻, 远攻, 近防, and 远防 are increased by 5%.</t>
  </si>
  <si>
    <t>Survival Instinct
Whenever you are attacked, gain a stacking bonus to Melee and 远防 of +2 on a miss and +5 on a hit. This can stack up to 5 times for misses and up to 2 times for hits.
At the start of every turn, the bonus is reset except the bonus gained from getting hit which is retained for the remainder of the combat.</t>
  </si>
  <si>
    <t>Strength In Numbers
Gain +2 近攻, 远攻, 近防 and 远防, as well as +5 Resolve for every adjacent ally.</t>
  </si>
  <si>
    <t>斧精通
Skills build up 25% less 疲劳.
Round Swing gains +5% chance to hit.
The Long斧 no longer has a penalty for attacking targets directly adjacent.
Gain Bearded Blade and Hook Shield.
Bearded Blade (requires 斧)
Your next attack has a chance to Disarm the target equal to your Hitchance. Until your next turn any opponent who misses an attack against you in melee has a chance equal to the miss chance to be Disarmed. The effect expires after your next attack, a successful Disarm or swapping your weapon.
Cost: 3 AP 15 Fat
Hook Shield (requires 斧)
Target a shielded enemy with your base hitchance that ignores the 近防 bonus of the shield.
Reduce the 近防 and 远防 granted by shields by 75%.
Removes Riposte and disables Rebuke.
The effect expires upon using any skill or starting a new turn.
Cost: 3 AP 15 Fat</t>
  </si>
  <si>
    <t>链枷精通
Skills build up 25% less 疲劳.
Lash and Hail ignore the defense bonus of Shields. 
Pound ignores an additional +10% of armor on head hits.
Thresh gains +5% chance to hit.
Pole链枷s no longer have a penalty for attacking targets directly adjacent.
Gain From All Sides.
From all Sides (requires 链枷)
Successful hits from 链枷s progressively reduce the target's 近防 and 远防 by a stacking -5 for one turn.
The effect is doubled if the attacks hit the head.</t>
  </si>
  <si>
    <t>Dodge
Gain 15% of the character's current 主动 as a bonus to Melee and 远防.</t>
  </si>
  <si>
    <t>Entrenched (requires Ranged Weapon)
When standing adjacent to an ally wielding a melee weapon who is not engaged in melee, gain +7 远攻, 远防, and Resolve. The bonus increases by +2 every turn up to a maximum of +15 as long as you continue to start your turn adjacent to any ally wielding a melee weapon who is not engaged in melee.</t>
  </si>
  <si>
    <t>Mentor's Presence
When in the presence of your mentor, gain multiple bonuses.
At the start of every turn, improve morale to confident. 
Gain the Duelist and Rebuke perks, +10 近攻, 近防 and 远防 and +20 Resolve.
Will lose 2 levels of morale upon the mentor's death.</t>
  </si>
  <si>
    <t>远防</t>
  </si>
  <si>
    <t>生命值
远防</t>
  </si>
  <si>
    <t>+10 远防
Not Affected by Reach
3.0 Target Attraction Mult</t>
  </si>
  <si>
    <t>+10 远防
BeastLarge
Disarm Immune
Rotation Immune
+0.1 Damage Total Mult (Day 90+)
Crippling Strikes
Pathfinder
Steel Brow
Battering Ram
Stalwart
Resilient
unhold_racial
Rattle
Dismantle - force enable
Formidable Approach - force enable
Menacing</t>
  </si>
  <si>
    <t>Mentor's Presence
When in the presence of your mentor, gain multiple bonuses.
At the beginning of your turn, improve morale to confident 
+10 近攻, 近防 and 远防, +20 Resolve.
If Mentor dies, lose 2 morale levels.</t>
  </si>
  <si>
    <t>天赋</t>
    <phoneticPr fontId="26" type="noConversion"/>
  </si>
  <si>
    <t>自身加权</t>
    <phoneticPr fontId="26" type="noConversion"/>
  </si>
  <si>
    <t>对其他加权</t>
    <phoneticPr fontId="26" type="noConversion"/>
  </si>
  <si>
    <r>
      <rPr>
        <b/>
        <sz val="11"/>
        <color rgb="FFF3F3F3"/>
        <rFont val="MS Gothic"/>
        <family val="3"/>
        <charset val="128"/>
      </rPr>
      <t>特技</t>
    </r>
    <r>
      <rPr>
        <b/>
        <sz val="11"/>
        <color rgb="FFF3F3F3"/>
        <rFont val="Microsoft JhengHei"/>
        <family val="2"/>
        <charset val="136"/>
      </rPr>
      <t>组类别：</t>
    </r>
    <r>
      <rPr>
        <b/>
        <sz val="11"/>
        <color rgb="FFF3F3F3"/>
        <rFont val="宋体"/>
        <family val="2"/>
        <charset val="134"/>
      </rPr>
      <t>通用</t>
    </r>
    <r>
      <rPr>
        <b/>
        <sz val="11"/>
        <color rgb="FFF3F3F3"/>
        <rFont val="Calibri"/>
        <family val="2"/>
      </rPr>
      <t>\</t>
    </r>
    <r>
      <rPr>
        <b/>
        <sz val="11"/>
        <color rgb="FFF3F3F3"/>
        <rFont val="宋体"/>
        <family val="2"/>
        <charset val="134"/>
      </rPr>
      <t>常驻</t>
    </r>
    <r>
      <rPr>
        <b/>
        <sz val="11"/>
        <color rgb="FFF3F3F3"/>
        <rFont val="Calibri"/>
        <family val="3"/>
        <charset val="128"/>
      </rPr>
      <t>Always</t>
    </r>
    <phoneticPr fontId="26" type="noConversion"/>
  </si>
  <si>
    <r>
      <rPr>
        <b/>
        <sz val="11"/>
        <color rgb="FFF3F3F3"/>
        <rFont val="MS Gothic"/>
        <family val="3"/>
        <charset val="128"/>
      </rPr>
      <t>特技</t>
    </r>
    <r>
      <rPr>
        <b/>
        <sz val="11"/>
        <color rgb="FFF3F3F3"/>
        <rFont val="Microsoft JhengHei"/>
        <family val="2"/>
        <charset val="136"/>
      </rPr>
      <t>组类别：</t>
    </r>
    <r>
      <rPr>
        <b/>
        <sz val="11"/>
        <color rgb="FFF3F3F3"/>
        <rFont val="宋体"/>
        <family val="2"/>
        <charset val="134"/>
      </rPr>
      <t>专业、职业、背景</t>
    </r>
    <r>
      <rPr>
        <b/>
        <sz val="11"/>
        <color rgb="FFF3F3F3"/>
        <rFont val="Calibri"/>
        <family val="2"/>
      </rPr>
      <t>EXCLUSIVE</t>
    </r>
    <phoneticPr fontId="26" type="noConversion"/>
  </si>
  <si>
    <r>
      <rPr>
        <b/>
        <sz val="11"/>
        <color rgb="FFF3F3F3"/>
        <rFont val="MS Gothic"/>
        <family val="3"/>
        <charset val="128"/>
      </rPr>
      <t>特技</t>
    </r>
    <r>
      <rPr>
        <b/>
        <sz val="11"/>
        <color rgb="FFF3F3F3"/>
        <rFont val="Microsoft JhengHei"/>
        <family val="2"/>
        <charset val="136"/>
      </rPr>
      <t>组类别：</t>
    </r>
    <r>
      <rPr>
        <b/>
        <sz val="11"/>
        <color rgb="FFF3F3F3"/>
        <rFont val="宋体"/>
        <family val="2"/>
        <charset val="134"/>
      </rPr>
      <t>武器</t>
    </r>
    <phoneticPr fontId="26" type="noConversion"/>
  </si>
  <si>
    <r>
      <rPr>
        <b/>
        <sz val="11"/>
        <color rgb="FFF3F3F3"/>
        <rFont val="MS Gothic"/>
        <family val="3"/>
        <charset val="128"/>
      </rPr>
      <t>特技</t>
    </r>
    <r>
      <rPr>
        <b/>
        <sz val="11"/>
        <color rgb="FFF3F3F3"/>
        <rFont val="Microsoft JhengHei"/>
        <family val="2"/>
        <charset val="136"/>
      </rPr>
      <t>组类别：</t>
    </r>
    <r>
      <rPr>
        <b/>
        <sz val="11"/>
        <color rgb="FFF3F3F3"/>
        <rFont val="宋体"/>
        <family val="2"/>
        <charset val="134"/>
      </rPr>
      <t>护甲</t>
    </r>
    <phoneticPr fontId="26" type="noConversion"/>
  </si>
  <si>
    <r>
      <rPr>
        <b/>
        <sz val="11"/>
        <color rgb="FFF3F3F3"/>
        <rFont val="MS Gothic"/>
        <family val="3"/>
        <charset val="128"/>
      </rPr>
      <t>特技</t>
    </r>
    <r>
      <rPr>
        <b/>
        <sz val="11"/>
        <color rgb="FFF3F3F3"/>
        <rFont val="Microsoft JhengHei"/>
        <family val="2"/>
        <charset val="136"/>
      </rPr>
      <t>组类别：</t>
    </r>
    <r>
      <rPr>
        <b/>
        <sz val="11"/>
        <color rgb="FFF3F3F3"/>
        <rFont val="宋体"/>
        <family val="2"/>
        <charset val="134"/>
      </rPr>
      <t>战斗风格</t>
    </r>
    <phoneticPr fontId="26" type="noConversion"/>
  </si>
  <si>
    <r>
      <rPr>
        <b/>
        <sz val="11"/>
        <color rgb="FFF3F3F3"/>
        <rFont val="MS Gothic"/>
        <family val="3"/>
        <charset val="128"/>
      </rPr>
      <t>特技</t>
    </r>
    <r>
      <rPr>
        <b/>
        <sz val="11"/>
        <color rgb="FFF3F3F3"/>
        <rFont val="Microsoft JhengHei"/>
        <family val="2"/>
        <charset val="136"/>
      </rPr>
      <t>组类别：</t>
    </r>
    <r>
      <rPr>
        <b/>
        <sz val="11"/>
        <color rgb="FFF3F3F3"/>
        <rFont val="宋体"/>
        <family val="2"/>
        <charset val="134"/>
      </rPr>
      <t>特殊特技</t>
    </r>
    <phoneticPr fontId="26" type="noConversion"/>
  </si>
  <si>
    <r>
      <rPr>
        <b/>
        <sz val="11"/>
        <color theme="1"/>
        <rFont val="宋体"/>
        <family val="2"/>
        <charset val="134"/>
      </rPr>
      <t>敌人特有</t>
    </r>
    <r>
      <rPr>
        <b/>
        <sz val="11"/>
        <color theme="1"/>
        <rFont val="MS Gothic"/>
        <family val="3"/>
        <charset val="128"/>
      </rPr>
      <t>特技</t>
    </r>
    <r>
      <rPr>
        <b/>
        <sz val="11"/>
        <color theme="1"/>
        <rFont val="Microsoft JhengHei"/>
        <family val="2"/>
        <charset val="136"/>
      </rPr>
      <t>组</t>
    </r>
    <phoneticPr fontId="26" type="noConversion"/>
  </si>
  <si>
    <t>hatchet</t>
    <phoneticPr fontId="26" type="noConversion"/>
  </si>
  <si>
    <r>
      <rPr>
        <sz val="11"/>
        <color theme="1"/>
        <rFont val="宋体"/>
        <family val="2"/>
        <charset val="134"/>
      </rPr>
      <t>古代禁卫军</t>
    </r>
    <r>
      <rPr>
        <sz val="11"/>
        <color theme="1"/>
        <rFont val="Calibri"/>
        <family val="2"/>
      </rPr>
      <t xml:space="preserve">
Ancient Praetorian
Tier 4
Elite Fighter
2h
Heavy Armor</t>
    </r>
    <phoneticPr fontId="26" type="noConversion"/>
  </si>
  <si>
    <r>
      <rPr>
        <sz val="11"/>
        <color theme="1"/>
        <rFont val="宋体"/>
        <family val="2"/>
        <charset val="134"/>
      </rPr>
      <t>古代禁卫军</t>
    </r>
    <r>
      <rPr>
        <sz val="11"/>
        <color theme="1"/>
        <rFont val="Calibri"/>
        <family val="2"/>
      </rPr>
      <t xml:space="preserve">
Ancient Praetorian
Tier 4
Elite Fighter
2h
Heavy Armor
Bodyguard</t>
    </r>
    <phoneticPr fontId="26" type="noConversion"/>
  </si>
  <si>
    <r>
      <rPr>
        <sz val="11"/>
        <color theme="1"/>
        <rFont val="宋体"/>
        <family val="2"/>
        <charset val="134"/>
      </rPr>
      <t>古代军团长</t>
    </r>
    <r>
      <rPr>
        <sz val="11"/>
        <color theme="1"/>
        <rFont val="Calibri"/>
        <family val="2"/>
      </rPr>
      <t xml:space="preserve">
Ancient Legate
Tier 5
Leader
2h Bruiser
Heavy Armor</t>
    </r>
    <phoneticPr fontId="26" type="noConversion"/>
  </si>
  <si>
    <r>
      <rPr>
        <sz val="11"/>
        <color theme="1"/>
        <rFont val="宋体"/>
        <family val="2"/>
        <charset val="134"/>
      </rPr>
      <t>死灵学者、吸血鬼</t>
    </r>
    <r>
      <rPr>
        <sz val="11"/>
        <color theme="1"/>
        <rFont val="Calibri"/>
        <family val="2"/>
      </rPr>
      <t xml:space="preserve">
Necrosavant
Tier 4
Elite Fighter
Highly Mobile</t>
    </r>
    <phoneticPr fontId="26" type="noConversion"/>
  </si>
  <si>
    <r>
      <rPr>
        <sz val="11"/>
        <color theme="1"/>
        <rFont val="宋体"/>
        <family val="2"/>
        <charset val="134"/>
      </rPr>
      <t>古代祭司</t>
    </r>
    <r>
      <rPr>
        <sz val="11"/>
        <color theme="1"/>
        <rFont val="Calibri"/>
        <family val="2"/>
      </rPr>
      <t xml:space="preserve">
Ancient Priest
Tier 4+
Support</t>
    </r>
    <phoneticPr fontId="26" type="noConversion"/>
  </si>
  <si>
    <r>
      <rPr>
        <sz val="11"/>
        <color theme="1"/>
        <rFont val="宋体"/>
        <family val="2"/>
        <charset val="134"/>
      </rPr>
      <t>死灵领主</t>
    </r>
    <r>
      <rPr>
        <sz val="11"/>
        <color theme="1"/>
        <rFont val="Calibri"/>
        <family val="2"/>
      </rPr>
      <t xml:space="preserve">
Necrosavant Lord
Tier 5
Super Elite Fighter
Highly Mobile</t>
    </r>
    <phoneticPr fontId="26" type="noConversion"/>
  </si>
  <si>
    <t>skeleton_lich (The Lorekeeper)</t>
    <phoneticPr fontId="26" type="noConversion"/>
  </si>
  <si>
    <t>博学者</t>
    <phoneticPr fontId="26" type="noConversion"/>
  </si>
  <si>
    <t>博学者的幻影</t>
    <phoneticPr fontId="26" type="noConversion"/>
  </si>
  <si>
    <r>
      <rPr>
        <sz val="11"/>
        <color theme="1"/>
        <rFont val="宋体"/>
        <family val="2"/>
        <charset val="134"/>
      </rPr>
      <t>古代仪仗兵</t>
    </r>
    <r>
      <rPr>
        <sz val="11"/>
        <color theme="1"/>
        <rFont val="Calibri"/>
        <family val="2"/>
      </rPr>
      <t xml:space="preserve">
Tier 5
Super Elite Fighter
2h
Heavy Armor</t>
    </r>
    <phoneticPr fontId="26" type="noConversion"/>
  </si>
  <si>
    <t>Brigand Highwayman
Tier 4
前排
Balanced
Shield
Weight 1.0</t>
  </si>
  <si>
    <t>Brigand Marauder
Tier 4
前排
Tough
Two-Hander 
Weight .66</t>
  </si>
  <si>
    <t>Barbarian Reaver
Tier 2+
前排
Bruiser
1h/OHF/Shield/throw
Weight .66</t>
  </si>
  <si>
    <t>Barbarian Chosen
Tier 4
前排
Heavy Bruiser
2h</t>
  </si>
  <si>
    <t>Footman
前排
1h/Shield</t>
  </si>
  <si>
    <t>Heavy Footman
前排
1h/Shield</t>
  </si>
  <si>
    <t>前排
Two-Handed
Balanced
Versatile</t>
  </si>
  <si>
    <t>Noble Zweihander
前排
2h/Versatile</t>
  </si>
  <si>
    <t>Noble Sergeant
前排 Support
1h/2h</t>
  </si>
  <si>
    <t>Noble Marshal
前排 Support
1h/2h</t>
  </si>
  <si>
    <t>Sir Named
Tier 5
前排 Bulwark
1h/Shield
Has 1 Squire guard</t>
  </si>
  <si>
    <t>Lord Named
Tier 6
前排 Bulwark
1h/Shield
Has 2 Squire guards</t>
  </si>
  <si>
    <t>Nomad Cutthroat
Tier 1
前排
Dodge</t>
  </si>
  <si>
    <t>Nomad Outlaw
Tier 2
前排
Somewhat Quick
Versatile</t>
  </si>
  <si>
    <t xml:space="preserve">knight
Strong 前排r
</t>
  </si>
  <si>
    <t>rf_knight_anointed
Strong 前排r
2 Squires</t>
  </si>
  <si>
    <t>古代辅兵
Ancient Auxiliary
Tier 1
前排
1h/shield</t>
  </si>
  <si>
    <t>古代役兵
Ancient Miles
Tier 2
前排
1h/shield</t>
  </si>
  <si>
    <t>古代十夫长
Ancient Decanus
Tier 3
前排 Leader
Bulwark
1h/Shield
Heavy Armor</t>
  </si>
  <si>
    <t>古代军团士兵
Ancient Legionary
Tier 3
前排
1h/shield</t>
  </si>
  <si>
    <t>古代百夫长
Ancient Centurion
Tier 4
前排
Leader
Bulwark
Heavy Armor</t>
  </si>
  <si>
    <t>古代宫廷卫兵
Ancient Palatinus
Tier 4
前排
1h/shield</t>
  </si>
  <si>
    <t>Brigand Scoundrel
Tier 1
前排
Balanced
Basic
Weight 1.0</t>
  </si>
  <si>
    <t>Brigand Thug
Tier 1
前排
Tough
Weight .66</t>
  </si>
  <si>
    <t>Brigand Vandal
Tier 2+
前排
Balanced
1h always shielded
Weight 1.0</t>
  </si>
  <si>
    <t>Brigand Pillager
Tier 2+
前排
Tough
Weight .33</t>
  </si>
  <si>
    <t>Brigand Raider
Tier 3
前排
Balanced
Shield
Weight 1.0</t>
  </si>
  <si>
    <t>Brigand Outlaw
Tier 3
前排
Tough
Two-Hander 
Weight .66</t>
  </si>
  <si>
    <t>Noble Halberdier
后排</t>
  </si>
  <si>
    <t>Noble 弩man
后排
Ranged</t>
  </si>
  <si>
    <t>Noble Arbelester
后排
Ranged</t>
  </si>
  <si>
    <t>Noble Fencer
Highly Mobile
Threatens 后排</t>
  </si>
  <si>
    <t>后排
Support</t>
  </si>
  <si>
    <t>古代役兵
Ancient Miles
Tier 2
后排
长柄</t>
  </si>
  <si>
    <t>古代军团士兵
Ancient Legionary
Tier 3
后排
长柄</t>
  </si>
  <si>
    <t>古代宫廷卫兵
Ancient Palatinus
Tier 4
后排
长柄</t>
  </si>
  <si>
    <t>Billman
后排</t>
  </si>
  <si>
    <t>堕落背叛者</t>
    <phoneticPr fontId="26" type="noConversion"/>
  </si>
  <si>
    <t>复仇之魂</t>
    <phoneticPr fontId="26" type="noConversion"/>
  </si>
  <si>
    <r>
      <rPr>
        <sz val="11"/>
        <color theme="1"/>
        <rFont val="宋体"/>
        <family val="2"/>
        <charset val="134"/>
      </rPr>
      <t>战犬</t>
    </r>
    <r>
      <rPr>
        <sz val="11"/>
        <color theme="1"/>
        <rFont val="Calibri"/>
        <family val="2"/>
      </rPr>
      <t xml:space="preserve">
Tier 1
Dog
Weight 0.2
</t>
    </r>
    <phoneticPr fontId="26" type="noConversion"/>
  </si>
  <si>
    <r>
      <rPr>
        <sz val="11"/>
        <color theme="1"/>
        <rFont val="宋体"/>
        <family val="2"/>
        <charset val="134"/>
      </rPr>
      <t>装甲战犬</t>
    </r>
    <r>
      <rPr>
        <sz val="11"/>
        <color theme="1"/>
        <rFont val="Calibri"/>
        <family val="2"/>
      </rPr>
      <t xml:space="preserve">
Tier 1+
Dog
Weight 0.2</t>
    </r>
    <phoneticPr fontId="26" type="noConversion"/>
  </si>
  <si>
    <r>
      <rPr>
        <sz val="11"/>
        <color theme="1"/>
        <rFont val="宋体"/>
        <family val="2"/>
        <charset val="134"/>
      </rPr>
      <t>战獒</t>
    </r>
    <r>
      <rPr>
        <sz val="11"/>
        <color theme="1"/>
        <rFont val="Calibri"/>
        <family val="2"/>
      </rPr>
      <t xml:space="preserve">
Tier 1+</t>
    </r>
    <phoneticPr fontId="26" type="noConversion"/>
  </si>
  <si>
    <t>装甲战獒</t>
    <phoneticPr fontId="26" type="noConversion"/>
  </si>
  <si>
    <t>同战犬</t>
    <phoneticPr fontId="26" type="noConversion"/>
  </si>
  <si>
    <t>同战獒</t>
    <phoneticPr fontId="26" type="noConversion"/>
  </si>
  <si>
    <t>Brigand Marksman
Tier 3
Basic Ranged
Weight .33</t>
    <phoneticPr fontId="26" type="noConversion"/>
  </si>
  <si>
    <t>Brigand Leader
Tier 3+
Elite Gear
Leader
Tactician
Weight 1.0</t>
    <phoneticPr fontId="26" type="noConversion"/>
  </si>
  <si>
    <r>
      <t xml:space="preserve">skeleton
Exploit Opening
Rebuke
Rotation
Shield Expert
T7 </t>
    </r>
    <r>
      <rPr>
        <sz val="11"/>
        <color theme="1"/>
        <rFont val="MS Gothic"/>
        <family val="3"/>
        <charset val="128"/>
      </rPr>
      <t>匕首</t>
    </r>
    <phoneticPr fontId="26" type="noConversion"/>
  </si>
  <si>
    <r>
      <t xml:space="preserve">Juggernaut (requires Two Handed Non-Fencing </t>
    </r>
    <r>
      <rPr>
        <sz val="11"/>
        <color theme="1"/>
        <rFont val="Microsoft JhengHei"/>
        <family val="2"/>
        <charset val="136"/>
      </rPr>
      <t>剑</t>
    </r>
    <r>
      <rPr>
        <sz val="11"/>
        <color theme="1"/>
        <rFont val="Calibri"/>
        <family val="2"/>
      </rPr>
      <t>)
Unlocks the Juggernaut Charge skill which immediately provides the Indomitable effect that lasts until your next turn and moves you up to 2 tiles away. After moving, attack a random adjacent enemy with 50% more damage and stagger all adjacent enemies.
Cannot be used when engaged in melee and can only target tiles with 1 level of height difference.
Cost: 5 AP 25 Fat</t>
    </r>
    <phoneticPr fontId="26" type="noConversion"/>
  </si>
  <si>
    <t>黑夜效果</t>
    <phoneticPr fontId="26" type="noConversion"/>
  </si>
  <si>
    <t>毒药</t>
    <phoneticPr fontId="26" type="noConversion"/>
  </si>
  <si>
    <t>商队</t>
    <phoneticPr fontId="26" type="noConversion"/>
  </si>
  <si>
    <t>角色背景武器奖励</t>
    <phoneticPr fontId="26" type="noConversion"/>
  </si>
  <si>
    <t>一些背景在使用其背景的游戏初期武器时有特殊经验。如矿工鹤嘴镐和屠夫切肉刀。</t>
    <phoneticPr fontId="26" type="noConversion"/>
  </si>
  <si>
    <t>添加了3个新的伤残。</t>
    <phoneticPr fontId="26" type="noConversion"/>
  </si>
  <si>
    <t>深呼吸|大喘气|蓝肺</t>
    <phoneticPr fontId="26" type="noConversion"/>
  </si>
  <si>
    <t>所有人类角色免费获得深呼吸|大喘气|蓝肺技能。</t>
    <phoneticPr fontId="26" type="noConversion"/>
  </si>
  <si>
    <t>抛投药剂</t>
    <phoneticPr fontId="26" type="noConversion"/>
  </si>
  <si>
    <t>烟雾弹</t>
    <phoneticPr fontId="26" type="noConversion"/>
  </si>
  <si>
    <t>拖割技能（南方剑2技能）</t>
    <phoneticPr fontId="26" type="noConversion"/>
  </si>
  <si>
    <t>新的和大调整的武器</t>
    <phoneticPr fontId="26" type="noConversion"/>
  </si>
  <si>
    <t>只要某阵营对一个实体造成了一些伤害，那他们就会从该实体的死亡中获得一些经验。</t>
    <phoneticPr fontId="26" type="noConversion"/>
  </si>
  <si>
    <t>该阵营获得的经验比例等于造成的伤害比例。</t>
    <phoneticPr fontId="26" type="noConversion"/>
  </si>
  <si>
    <t>余下的80%会平均分给所有兄弟。</t>
    <phoneticPr fontId="26" type="noConversion"/>
  </si>
  <si>
    <t>新的七层特技，“击剑手”。</t>
    <phoneticPr fontId="26" type="noConversion"/>
  </si>
  <si>
    <t>刺剑和穿甲剑（双手刺剑）重做。现在穿甲很高但破甲很低。</t>
    <phoneticPr fontId="26" type="noConversion"/>
  </si>
  <si>
    <t>它们现在拥有的技能如下：剑刃刺击、突刺和还击。</t>
    <phoneticPr fontId="26" type="noConversion"/>
  </si>
  <si>
    <t>剑刃刺击是一个造成刺击伤害的新技能。</t>
    <phoneticPr fontId="26" type="noConversion"/>
  </si>
  <si>
    <t>剑刃刺击和突刺命中头部的概率降低25%。</t>
    <phoneticPr fontId="26" type="noConversion"/>
  </si>
  <si>
    <t>剑刃刺击和突刺的命中率会根据目标身体护甲值受到减益。最多减少35%。</t>
    <phoneticPr fontId="26" type="noConversion"/>
  </si>
  <si>
    <t>击剑手技能会将此减益减少10%。（即25%）</t>
    <phoneticPr fontId="26" type="noConversion"/>
  </si>
  <si>
    <t>除了原本的效果以外，还会在达到标准流血阈值（6点伤害）时施加3层流血。</t>
    <phoneticPr fontId="26" type="noConversion"/>
  </si>
  <si>
    <t>你现在可以用投石索抛出包里的瓶瓶罐罐。</t>
    <phoneticPr fontId="26" type="noConversion"/>
  </si>
  <si>
    <t>投掷攻击的每格命中减益从-10%提高到-15%。</t>
    <phoneticPr fontId="26" type="noConversion"/>
  </si>
  <si>
    <t>投矛会在命中盾牌时施加40点疲劳。</t>
    <phoneticPr fontId="26" type="noConversion"/>
  </si>
  <si>
    <t>投掷武器</t>
    <phoneticPr fontId="26" type="noConversion"/>
  </si>
  <si>
    <t>现在会进行3次攻击掷骰，每失败一次造成的伤害-33%。造成的伤害和原来类似，但避免了和MOD制作和新加入的技能等的冲突。</t>
    <phoneticPr fontId="26" type="noConversion"/>
  </si>
  <si>
    <t>哥布林流星锤无视盾牌提供的防御加成。</t>
    <phoneticPr fontId="26" type="noConversion"/>
  </si>
  <si>
    <t>长杆武器</t>
    <phoneticPr fontId="26" type="noConversion"/>
  </si>
  <si>
    <t>决斗者</t>
    <phoneticPr fontId="26" type="noConversion"/>
  </si>
  <si>
    <t>长杆武器会因第三个开始的相邻友军（5%）和每个相邻敌人（10%）受到命中减益。这些减益在命中提示栏中显示为“难以施展”。这会和原本-15%命中率的攻击接邻敌人减益叠加。这-15%的减益会因对应武器精通移除，但新添加的减益效果不会因此被移除。</t>
    <phoneticPr fontId="26" type="noConversion"/>
  </si>
  <si>
    <t>各不相同的双手持握加成</t>
    <phoneticPr fontId="26" type="noConversion"/>
  </si>
  <si>
    <t>每种武器类型会有不同的双手持握加成，包括北方剑、南方剑和刺剑。</t>
    <phoneticPr fontId="26" type="noConversion"/>
  </si>
  <si>
    <t>一些敌人会掉落更多的战利品，战斗起来更有价值（野兽哥布林等）。</t>
    <phoneticPr fontId="26" type="noConversion"/>
  </si>
  <si>
    <t>分级武器技能</t>
    <phoneticPr fontId="26" type="noConversion"/>
  </si>
  <si>
    <t>和以往的同时存在多个实例不同，现在所有流血层数会保存在一个效果实例当中。</t>
    <phoneticPr fontId="26" type="noConversion"/>
  </si>
  <si>
    <t>流血不会消退，如不使用绷带，会持续整场战斗。</t>
    <phoneticPr fontId="26" type="noConversion"/>
  </si>
  <si>
    <t>如果一回合中受到不少于3层流血，会对你触发一次负面士气检定。</t>
    <phoneticPr fontId="26" type="noConversion"/>
  </si>
  <si>
    <t>每层流血每回合会造成1点伤害。每层还会削减其决心和主动值，角色的当前生命值越低，每层的削减效果越强，最多削减50%。</t>
    <phoneticPr fontId="26" type="noConversion"/>
  </si>
  <si>
    <t>每种武器都有一个“适用精通”列表，显示在该武器的提示栏中。</t>
    <phoneticPr fontId="26" type="noConversion"/>
  </si>
  <si>
    <t>精通带来的疲劳消耗减少不能叠加。</t>
    <phoneticPr fontId="26" type="noConversion"/>
  </si>
  <si>
    <t>只要你有这些精通中的一种，该武器的所有技能都会和你拥有了所有这些精通时一样。</t>
    <phoneticPr fontId="26" type="noConversion"/>
  </si>
  <si>
    <t>如果角色累赘度过高，角色身上会出现一个名为“不堪重负”的状态效果。</t>
    <phoneticPr fontId="26" type="noConversion"/>
  </si>
  <si>
    <t>角色的技能及其相应的行动点数和疲劳消耗会一同显示在其提示栏中。</t>
    <phoneticPr fontId="26" type="noConversion"/>
  </si>
  <si>
    <t>领袖
(special)</t>
  </si>
  <si>
    <t>领袖, 2</t>
  </si>
  <si>
    <t>领袖, 0</t>
  </si>
  <si>
    <t>领袖</t>
  </si>
  <si>
    <t>领袖, +</t>
  </si>
  <si>
    <t>毅力</t>
  </si>
  <si>
    <t>毅力 Assault (requires Melee or 投掷 Attack)
For every 2 tiles moved, the Action Point cost of your next attack is reduced by 1 to a minimum of 1, and the 疲劳 cost is reduced by 10%.
                                The bonus is lost upon waiting or ending your turn, using any skill, or swapping your weapon except to or from a 投掷 weapon.</t>
  </si>
  <si>
    <t>毅力 Assault</t>
  </si>
  <si>
    <t>毅力, 1.2</t>
  </si>
  <si>
    <t>毅力, 0</t>
  </si>
  <si>
    <t>毅力, 2</t>
  </si>
  <si>
    <t>毅力, +</t>
  </si>
  <si>
    <t>毅力, .5</t>
  </si>
  <si>
    <t>剑, 斧, 骨朵, 链枷, 长柄, 投掷, 锤, 矛, 砍刀 Spec
Adrenaline
Underdog
Anticipation
Resilient
Recover
Brawny
Bullseye
Quick Hands
Pathfinder
Relentless (Day 60+)
Survival Instinct
毅力 Assault
Weapon T4
If 投掷: 投掷精通</t>
  </si>
  <si>
    <t>剑, 斧, 骨朵, 链枷, 长柄, 投掷, 锤, 矛, 砍刀 Spec
Underdog
Adrenaline
Anticipation
Battleforged
Berserk
Killing Frenzy
Devastating Strikes
Crippling Strikes
Executioner
Resilient
Recover
Brawny
Pathfinder
Exude Confidence
Feral Rage
Menacing
Survival Instinct
毅力 Assault
Weapon T7</t>
  </si>
  <si>
    <t>剑, 斧, 骨朵, 链枷, 长柄, 投掷, 锤, 矛, 砍刀 Spec
Trickster God Racial
Battleforged
Crippling Strikes
Executioner
Resilient
Recover
Brawny
Battering Ram
Pathfinder
Menacing
毅力 Assault
Weapon T7</t>
  </si>
  <si>
    <t>+5 MeleeSkill (Day 190+)
+0.1 Damage Total Mult (Day 190+)
+5 决心 (Day 190+)
斧, 砍刀, 链枷 Spec
Immune to Fresh Injuries
Battering Ram
Berserk
Battle Flow
Pathfinder
Resilient
Menacing
Survival Instinct
毅力 Assault
T4 Weapon
and
If 斧:
  -bearded blade, -hook shield</t>
  </si>
  <si>
    <t>快速</t>
  </si>
  <si>
    <t>快速 Adaptation
Gain an additional stacking +10% hitchance with each attack that misses an opponent. Bonus is reset upon landing a hit.</t>
  </si>
  <si>
    <t>快速, 1.2</t>
  </si>
  <si>
    <t>快速, 0</t>
  </si>
  <si>
    <t>快速, 2</t>
  </si>
  <si>
    <t>快速, +</t>
  </si>
  <si>
    <t>Brigand Robber
Tier 2
快速
Quicker than Thugs
Uses lighter weapons
Can spawn with nets
Weight: .66</t>
  </si>
  <si>
    <t>Brigand Bandit
Tier 3
快速
Weight .66</t>
  </si>
  <si>
    <t>Brigand Killer
Tier 4
快速
Weight .66</t>
  </si>
  <si>
    <t xml:space="preserve">Barbarian Thrall
Tier 1+
前排
Versatile
快速
</t>
  </si>
  <si>
    <t>BeastSmall
Night Immune
Poison Immune
Disarm Immune
0.05 Damage Direct Add (Day 25+)
0.05 Damage Direct Add (Day 50+)
+5 MeleeDefense  (Day 50+)
+5 RangedDefense  (Day 50+)
3 Max Traversible Levels
Footwork
Pathfinder
Backstabber
快速 Adaptation
spider_racial (poison)
Between the Ribs
Strength in Numbers</t>
  </si>
  <si>
    <t>Backstabber
Berserk
Executioner
Crippling Strikes
Dodge
Nimble
Overwhelm
匕首 Spec
快速 Adaptation
Fearsome</t>
  </si>
  <si>
    <t>剑, 斧, 骨朵, 链枷, 长柄, 投掷, 锤, 矛, 砍刀 Spec
Brawny
Quick Hands
Battleforged
Anticipation
快速 Adaptation
Backstabber
Overwhelm
Rotation
Recover
T7 of equipped weapon
If Shield: Shield Expert
&lt;4AP weapon: Duelist
&gt;4AP weapon: Formidable Approach
If 投掷:  投掷精通</t>
  </si>
  <si>
    <t>弓 Spec, 弩 Spec, 匕首 Spec
Vision 8
Brawny
Bullseye
Quick Hands
Crippling Strikes
Executioner
快速 Adaptation
Nimble
Overwhelm
Rotation
Footwork
Recover
T7 Weapon</t>
  </si>
  <si>
    <t>剑master
Tier 4
快速</t>
  </si>
  <si>
    <t>Goblin Wolfrider
Tier 3
快速 Flanker
Spawns Goblin Warrior or Wolf on death</t>
  </si>
  <si>
    <t>Battleforged
快速 Adaptation
Rotation
Shield Expert
T4 Weapon</t>
  </si>
  <si>
    <t>Battleforged
快速 Adaptation
Rebuke
Rotation
Shield Expert
The Rush of Battle
T4 Weapon</t>
  </si>
  <si>
    <t>Bladedancer
Tier 4
快速</t>
  </si>
  <si>
    <t>剑, 斧, 骨朵, 链枷, 长柄, 投掷, 锤, 矛, 砍刀 Spec
Quick Hands
Brawny
Nimble
快速 Adaptation
Backstabber
Rotation
Recover
Phalanx
Poise
T4 in melee weapon tree</t>
  </si>
  <si>
    <t>conscript
Quick Hands
Nimble
快速 Adaptation
Rotation
Recover
长柄精通
骨朵: T4
长柄: Crippling Strikes</t>
  </si>
  <si>
    <t>Bleed Immune
Poison Immune
Knockback and Grab Immune
Stun Immune
Root Immune
Fire Immune
Ignores Armor on Attack
Night Immune
Injury Immune
3 Max Traversable Levels
Anticipation
快速 Adaptation
Underdog
Fearsome
Resilient
Reach Advantage</t>
  </si>
  <si>
    <t>精力</t>
  </si>
  <si>
    <t>领袖, 0
精力, 0</t>
  </si>
  <si>
    <t>精力, +</t>
  </si>
  <si>
    <t>领袖, 5
精力, +</t>
  </si>
  <si>
    <t>领袖, 2
精力, 2</t>
  </si>
  <si>
    <t>精力, .5</t>
  </si>
  <si>
    <t>Sweep
Sweep ZoC
Fling Back
精力 Charge</t>
  </si>
  <si>
    <t>训练有素</t>
  </si>
  <si>
    <t>训练有素, 1.2</t>
  </si>
  <si>
    <t>训练有素, 2</t>
  </si>
  <si>
    <t>训练有素, +</t>
  </si>
  <si>
    <t>灵活</t>
  </si>
  <si>
    <t>灵活, 1.2</t>
  </si>
  <si>
    <t>灵活, 2</t>
  </si>
  <si>
    <t>灵活, 0
快速, 0</t>
  </si>
  <si>
    <t>灵活, +</t>
  </si>
  <si>
    <t>灵活, +
快速, +</t>
  </si>
  <si>
    <t>Goblin Skirmisher
Tier 2
灵活 Melee Fighter
Thrower</t>
  </si>
  <si>
    <t>Goblin Ambusher
Tier 2
灵活 Ranged
Debuffer</t>
  </si>
  <si>
    <t>凶狠</t>
  </si>
  <si>
    <t>凶狠, 3</t>
  </si>
  <si>
    <t>凶狠, +</t>
  </si>
  <si>
    <t>领袖, 0.5
凶狠, 2</t>
  </si>
  <si>
    <t>灵活, 1.2
快速, 1.2
凶狠, 2
训练有素, 2</t>
  </si>
  <si>
    <t>天才</t>
  </si>
  <si>
    <t>天才
Instantly gain a levelup to increase this character's attributes with maximum rolls, but without 天赋s.</t>
  </si>
  <si>
    <t>精力, 1.2
凶狠, 1.2
斧, 1.15
砍刀, 1.15
匕首, 1.15
链枷, 1.15
锤, 1.15
骨朵, 1.15
长柄, 1.15
剑, 1.1
弓, 0.8
弩 0.8
远程战斗风格, 0.5</t>
  </si>
  <si>
    <t>弓, 1.5
弩, 1.5
投掷, 1.5
远程战斗风格, 2</t>
  </si>
  <si>
    <t>剑, +
远程战斗风格, 0</t>
  </si>
  <si>
    <t>远程战斗风格, 1.5</t>
  </si>
  <si>
    <t>毅力, 0
钢铁之躯, 0</t>
  </si>
  <si>
    <t>钢铁之躯</t>
  </si>
  <si>
    <t>发掘潜能</t>
  </si>
  <si>
    <t>发掘潜能
Every time you spend a level-up, gain between 1 and 3 天赋 stars in a random attribute in which you have fewer than 3 stars.
Can only trigger once per attribute and cannot increase the number of 天赋 stars in an attribute beyond 3.</t>
  </si>
  <si>
    <t>冉冉新星</t>
  </si>
  <si>
    <t>冉冉新星
Experience gained is increased by 20% for the next 5 levels and by 5% after that.
Gain 2 perk points upon completing your next 5 levels after picking this perk.</t>
  </si>
  <si>
    <t xml:space="preserve">学生
</t>
  </si>
  <si>
    <t>学生
Gain additional 20% Experience from battle. At the eleventh Character Level, you gain an additional Perk Point.
When playing the Manhunters origin, your Indebted get the perk point refunded at the seventh Character Level.</t>
  </si>
  <si>
    <t>发掘潜能, 0
天才, 0
冉冉新星, 0
学生, 0</t>
  </si>
  <si>
    <t>发掘潜能, 2
天才, 2
冉冉新星, 2
学生, 2</t>
  </si>
  <si>
    <t>学生</t>
  </si>
  <si>
    <t>学生, +</t>
  </si>
  <si>
    <t>返朴归真</t>
  </si>
  <si>
    <t>返朴归真
Gain 2 Perk Points.
Drop your perk 层级 down to 2.</t>
  </si>
  <si>
    <t>训练有素, 0
斧, 1.5
链枷, 2
骨朵, 1.5
矛, 0
剑, .8
返朴归真, 0</t>
  </si>
  <si>
    <t>训练有素, 0
返朴归真, 0</t>
  </si>
  <si>
    <t>返朴归真, 0</t>
  </si>
  <si>
    <t>快速, 1.5
训练有素, 0.5
盾牌战斗风格, 0</t>
  </si>
  <si>
    <t>盾牌战斗风格</t>
  </si>
  <si>
    <t>射击技术</t>
  </si>
  <si>
    <t>射击技术 (requires Ranged Weapon)
Gain 10% of your Base 远攻 as additional Minimum and Maximum Damage.</t>
  </si>
  <si>
    <t>领袖, .25
训练有素, .5
射击技术, 0</t>
  </si>
  <si>
    <t>射击技术, 3</t>
  </si>
  <si>
    <t>射击技术, 0</t>
  </si>
  <si>
    <t>坚韧, 1.5
毅力, 1.5</t>
  </si>
  <si>
    <t>坚韧</t>
  </si>
  <si>
    <t>灵活, 0
快速, 0
坚韧, 2</t>
  </si>
  <si>
    <t>坚韧, 0</t>
  </si>
  <si>
    <t>灵活, .5
快速, .5
坚韧, 2
毅力, 2</t>
  </si>
  <si>
    <t>灵活, 0.5
快速, 0.5
坚韧, 2
毅力, 2</t>
  </si>
  <si>
    <t>坚韧, 0.5
毅力, 0.5</t>
  </si>
  <si>
    <t>坚韧, +</t>
  </si>
  <si>
    <t>战术家, 1.5
训练有素, 2
矛, +</t>
  </si>
  <si>
    <t>战术家, 2
训练有素, 1.5</t>
  </si>
  <si>
    <t>领袖, 0
战术家, 0
训练有素, 0
弓, 0
弩, 0
匕首, 0
矛, 0.75
剑, 0.8
远程战斗风格, 0
盾牌战斗风格, 0
返朴归真, 0
发掘潜能, 0
天才, 0
学生, 0</t>
  </si>
  <si>
    <t>战术家</t>
  </si>
  <si>
    <t>领袖, 0
战术家, 0
精力, 0</t>
  </si>
  <si>
    <t>奸猾</t>
  </si>
  <si>
    <t>劳工</t>
  </si>
  <si>
    <t>民兵</t>
  </si>
  <si>
    <t>贵族</t>
  </si>
  <si>
    <t>贫民</t>
  </si>
  <si>
    <t>掠袭者</t>
  </si>
  <si>
    <t>士兵</t>
  </si>
  <si>
    <t>剑术大师</t>
    <phoneticPr fontId="26" type="noConversion"/>
  </si>
  <si>
    <t>职业士兵</t>
  </si>
  <si>
    <t>陷阱师</t>
    <phoneticPr fontId="26" type="noConversion"/>
  </si>
  <si>
    <t>野性</t>
    <phoneticPr fontId="26" type="noConversion"/>
  </si>
  <si>
    <t>击剑手</t>
    <phoneticPr fontId="26" type="noConversion"/>
  </si>
  <si>
    <t>猛力打击</t>
    <phoneticPr fontId="26" type="noConversion"/>
  </si>
  <si>
    <t>灵巧打击</t>
    <phoneticPr fontId="26" type="noConversion"/>
  </si>
  <si>
    <t>远程战斗风格</t>
    <phoneticPr fontId="26" type="noConversion"/>
  </si>
  <si>
    <t>资格</t>
    <phoneticPr fontId="26" type="noConversion"/>
  </si>
  <si>
    <t>特殊特技</t>
    <phoneticPr fontId="26" type="noConversion"/>
  </si>
  <si>
    <t>特殊特技组</t>
    <phoneticPr fontId="26" type="noConversion"/>
  </si>
  <si>
    <t>角色特性</t>
    <phoneticPr fontId="26" type="noConversion"/>
  </si>
  <si>
    <t>特征</t>
    <phoneticPr fontId="26" type="noConversion"/>
  </si>
  <si>
    <t>特技组</t>
    <phoneticPr fontId="26" type="noConversion"/>
  </si>
  <si>
    <r>
      <rPr>
        <b/>
        <sz val="11"/>
        <color rgb="FFF3F3F3"/>
        <rFont val="MS Gothic"/>
        <family val="3"/>
        <charset val="128"/>
      </rPr>
      <t>特技</t>
    </r>
    <r>
      <rPr>
        <b/>
        <sz val="11"/>
        <color rgb="FFF3F3F3"/>
        <rFont val="Microsoft JhengHei"/>
        <family val="2"/>
        <charset val="136"/>
      </rPr>
      <t>组类别：</t>
    </r>
    <r>
      <rPr>
        <b/>
        <sz val="11"/>
        <color rgb="FFF3F3F3"/>
        <rFont val="宋体"/>
        <family val="2"/>
        <charset val="134"/>
      </rPr>
      <t>特性</t>
    </r>
    <r>
      <rPr>
        <b/>
        <sz val="11"/>
        <color rgb="FFF3F3F3"/>
        <rFont val="Calibri"/>
        <family val="2"/>
      </rPr>
      <t>\</t>
    </r>
    <r>
      <rPr>
        <b/>
        <sz val="11"/>
        <color rgb="FFF3F3F3"/>
        <rFont val="宋体"/>
        <family val="2"/>
        <charset val="134"/>
      </rPr>
      <t>共有</t>
    </r>
    <r>
      <rPr>
        <b/>
        <sz val="11"/>
        <color rgb="FFF3F3F3"/>
        <rFont val="Calibri"/>
        <family val="3"/>
        <charset val="128"/>
      </rPr>
      <t>Shared</t>
    </r>
    <phoneticPr fontId="26" type="noConversion"/>
  </si>
  <si>
    <t>武器组</t>
    <phoneticPr fontId="26" type="noConversion"/>
  </si>
  <si>
    <t>战斗风格组</t>
    <phoneticPr fontId="26" type="noConversion"/>
  </si>
  <si>
    <t>护甲组</t>
    <phoneticPr fontId="26" type="noConversion"/>
  </si>
  <si>
    <t>轻甲</t>
    <phoneticPr fontId="26" type="noConversion"/>
  </si>
  <si>
    <t>中甲</t>
    <phoneticPr fontId="26" type="noConversion"/>
  </si>
  <si>
    <t>重甲</t>
    <phoneticPr fontId="26" type="noConversion"/>
  </si>
  <si>
    <t>药物成瘾</t>
    <phoneticPr fontId="26" type="noConversion"/>
  </si>
  <si>
    <t>虚弱（中毒加长）</t>
    <phoneticPr fontId="26" type="noConversion"/>
  </si>
  <si>
    <t>土坑斗士</t>
    <phoneticPr fontId="26" type="noConversion"/>
  </si>
  <si>
    <t>竞技场战士</t>
    <phoneticPr fontId="26" type="noConversion"/>
  </si>
  <si>
    <t>竞技场老兵</t>
    <phoneticPr fontId="26" type="noConversion"/>
  </si>
  <si>
    <t>哮喘</t>
    <phoneticPr fontId="26" type="noConversion"/>
  </si>
  <si>
    <t>健壮（走路-2）</t>
    <phoneticPr fontId="26" type="noConversion"/>
  </si>
  <si>
    <t>出血体质</t>
    <phoneticPr fontId="26" type="noConversion"/>
  </si>
  <si>
    <t>嗜血</t>
    <phoneticPr fontId="26" type="noConversion"/>
  </si>
  <si>
    <t>勇敢</t>
    <phoneticPr fontId="26" type="noConversion"/>
  </si>
  <si>
    <t>聪明</t>
    <phoneticPr fontId="26" type="noConversion"/>
  </si>
  <si>
    <t>粗野（爆头增伤）</t>
    <phoneticPr fontId="26" type="noConversion"/>
  </si>
  <si>
    <t>畸形足</t>
    <phoneticPr fontId="26" type="noConversion"/>
  </si>
  <si>
    <t>笨拙</t>
    <phoneticPr fontId="26" type="noConversion"/>
  </si>
  <si>
    <t>自大</t>
    <phoneticPr fontId="26" type="noConversion"/>
  </si>
  <si>
    <t>懦夫-10</t>
    <phoneticPr fontId="26" type="noConversion"/>
  </si>
  <si>
    <t>矮小</t>
    <phoneticPr fontId="26" type="noConversion"/>
  </si>
  <si>
    <t>团队</t>
    <phoneticPr fontId="26" type="noConversion"/>
  </si>
  <si>
    <t>下盘稳固=5防</t>
    <phoneticPr fontId="26" type="noConversion"/>
  </si>
  <si>
    <t>迷信、黑猫</t>
    <phoneticPr fontId="26" type="noConversion"/>
  </si>
  <si>
    <t>斯巴达（少吃饭</t>
    <phoneticPr fontId="26" type="noConversion"/>
  </si>
  <si>
    <t>近视</t>
    <phoneticPr fontId="26" type="noConversion"/>
  </si>
  <si>
    <t>消极</t>
    <phoneticPr fontId="26" type="noConversion"/>
  </si>
  <si>
    <t>玩家角色</t>
    <phoneticPr fontId="26" type="noConversion"/>
  </si>
  <si>
    <t>偏执、被害妄想</t>
    <phoneticPr fontId="26" type="noConversion"/>
  </si>
  <si>
    <t>乐观</t>
    <phoneticPr fontId="26" type="noConversion"/>
  </si>
  <si>
    <t>老迈</t>
    <phoneticPr fontId="26" type="noConversion"/>
  </si>
  <si>
    <t>猫头鹰</t>
    <phoneticPr fontId="26" type="noConversion"/>
  </si>
  <si>
    <t>夜盲</t>
    <phoneticPr fontId="26" type="noConversion"/>
  </si>
  <si>
    <t>疯狂（黑书</t>
    <phoneticPr fontId="26" type="noConversion"/>
  </si>
  <si>
    <t>幸运</t>
    <phoneticPr fontId="26" type="noConversion"/>
  </si>
  <si>
    <t>忠诚</t>
    <phoneticPr fontId="26" type="noConversion"/>
  </si>
  <si>
    <t>非理性（随机=-决心</t>
    <phoneticPr fontId="26" type="noConversion"/>
  </si>
  <si>
    <t>铁肺</t>
    <phoneticPr fontId="26" type="noConversion"/>
  </si>
  <si>
    <t>铁颌</t>
    <phoneticPr fontId="26" type="noConversion"/>
  </si>
  <si>
    <t>Intensive Training</t>
    <phoneticPr fontId="26" type="noConversion"/>
  </si>
  <si>
    <t>贪婪</t>
    <phoneticPr fontId="26" type="noConversion"/>
  </si>
  <si>
    <t>恨野兽</t>
    <phoneticPr fontId="26" type="noConversion"/>
  </si>
  <si>
    <t>恨绿皮</t>
    <phoneticPr fontId="26" type="noConversion"/>
  </si>
  <si>
    <t>恨贵族</t>
    <phoneticPr fontId="26" type="noConversion"/>
  </si>
  <si>
    <t>恨亡灵</t>
    <phoneticPr fontId="26" type="noConversion"/>
  </si>
  <si>
    <t>犹豫</t>
    <phoneticPr fontId="26" type="noConversion"/>
  </si>
  <si>
    <t>巨大、巨人、魁梧</t>
    <phoneticPr fontId="26" type="noConversion"/>
  </si>
  <si>
    <t>没耐心</t>
    <phoneticPr fontId="26" type="noConversion"/>
  </si>
  <si>
    <t>不安、小鸡</t>
    <phoneticPr fontId="26" type="noConversion"/>
  </si>
  <si>
    <t>鼬鼠、黄鼠狼（撤退+防</t>
    <phoneticPr fontId="26" type="noConversion"/>
  </si>
  <si>
    <t>迅捷+远防</t>
    <phoneticPr fontId="26" type="noConversion"/>
  </si>
  <si>
    <t>幸存者</t>
    <phoneticPr fontId="26" type="noConversion"/>
  </si>
  <si>
    <t>快速（+10主动</t>
    <phoneticPr fontId="26" type="noConversion"/>
  </si>
  <si>
    <t>贪吃</t>
    <phoneticPr fontId="26" type="noConversion"/>
  </si>
  <si>
    <t>坚忍之誉</t>
    <phoneticPr fontId="26" type="noConversion"/>
  </si>
  <si>
    <t>快速之誉</t>
    <phoneticPr fontId="26" type="noConversion"/>
  </si>
  <si>
    <t>决心之誉</t>
    <phoneticPr fontId="26" type="noConversion"/>
  </si>
  <si>
    <t>脆弱-10血</t>
    <phoneticPr fontId="26" type="noConversion"/>
  </si>
  <si>
    <t>无畏+10决</t>
    <phoneticPr fontId="26" type="noConversion"/>
  </si>
  <si>
    <t>怕亡灵</t>
    <phoneticPr fontId="26" type="noConversion"/>
  </si>
  <si>
    <t>怕贵族</t>
    <phoneticPr fontId="26" type="noConversion"/>
  </si>
  <si>
    <t>怕绿皮</t>
    <phoneticPr fontId="26" type="noConversion"/>
  </si>
  <si>
    <t>怕野兽</t>
    <phoneticPr fontId="26" type="noConversion"/>
  </si>
  <si>
    <t>胖</t>
    <phoneticPr fontId="26" type="noConversion"/>
  </si>
  <si>
    <t>懦弱-5决心</t>
    <phoneticPr fontId="26" type="noConversion"/>
  </si>
  <si>
    <t>鹰眼</t>
    <phoneticPr fontId="26" type="noConversion"/>
  </si>
  <si>
    <t>蠢</t>
    <phoneticPr fontId="26" type="noConversion"/>
  </si>
  <si>
    <t>酒鬼</t>
    <phoneticPr fontId="26" type="noConversion"/>
  </si>
  <si>
    <t>不忠</t>
    <phoneticPr fontId="26" type="noConversion"/>
  </si>
  <si>
    <t>灵巧（+5攻击</t>
    <phoneticPr fontId="26" type="noConversion"/>
  </si>
  <si>
    <t>死愿</t>
    <phoneticPr fontId="26" type="noConversion"/>
  </si>
  <si>
    <t>坚定、毅然（开局自信</t>
    <phoneticPr fontId="26" type="noConversion"/>
  </si>
  <si>
    <t>畏缩（烧旗</t>
    <phoneticPr fontId="26" type="noConversion"/>
  </si>
  <si>
    <t>狂信</t>
    <phoneticPr fontId="26" type="noConversion"/>
  </si>
  <si>
    <t>先知</t>
    <phoneticPr fontId="26" type="noConversion"/>
  </si>
  <si>
    <t>侍僧</t>
    <phoneticPr fontId="26" type="noConversion"/>
  </si>
  <si>
    <t>神选</t>
    <phoneticPr fontId="26" type="noConversion"/>
  </si>
  <si>
    <t>门徒</t>
    <phoneticPr fontId="26" type="noConversion"/>
  </si>
  <si>
    <t>狂热</t>
    <phoneticPr fontId="26" type="noConversion"/>
  </si>
  <si>
    <t>名称</t>
    <phoneticPr fontId="26" type="noConversion"/>
  </si>
  <si>
    <t>冒险贵族</t>
    <phoneticPr fontId="26" type="noConversion"/>
  </si>
  <si>
    <t>解剖</t>
    <phoneticPr fontId="26" type="noConversion"/>
  </si>
  <si>
    <t>掷骰的特技组数量</t>
    <phoneticPr fontId="26" type="noConversion"/>
  </si>
  <si>
    <t>仅近战
精力, 2
领袖, 3</t>
  </si>
  <si>
    <t>近战专家
训练有素, 3
精力, 2
弓, 0
弩, 0
领袖, 0</t>
  </si>
  <si>
    <t>仅近战
近战专家</t>
  </si>
  <si>
    <t>近战专家
训练有素, 1.4
凶狠, 2
弓, 0
弩, 0</t>
  </si>
  <si>
    <t>近战背景</t>
  </si>
  <si>
    <t>近战背景
凶狠, 3
斧, 1.25
矛, .8
剑, 1.25</t>
  </si>
  <si>
    <t>近战背景
凶狠, 2
矛, .75
领袖, 4</t>
  </si>
  <si>
    <t>近战背景
凶狠, 2
矛, .8
领袖, 4</t>
  </si>
  <si>
    <t>近战背景
精力, 2
领袖, 4</t>
  </si>
  <si>
    <t>近战背景
精力, 2
领袖, 5</t>
  </si>
  <si>
    <t>近战背景
领袖, 2</t>
  </si>
  <si>
    <t>近战背景
匕首, 2
链枷, 2
长柄, 1.25
领袖, 0</t>
  </si>
  <si>
    <t>近战背景
链枷, 1.5
锤, 2
骨朵, 1.5
学生, 2</t>
  </si>
  <si>
    <t>近战背景
毅力, .5
精力, 0
凶狠, 0</t>
  </si>
  <si>
    <t>近战背景
灵活, 1.2
快速, 1.2
精力, .5
凶狠, .5
学生, 2</t>
  </si>
  <si>
    <t>近战背景
灵活, 1.2
快速, 1.2
训练有素, .75
精力, .75
凶狠, .75
领袖, 2</t>
  </si>
  <si>
    <t>远程背景</t>
  </si>
  <si>
    <t>+1 武器组</t>
  </si>
  <si>
    <t>+2 武器组</t>
  </si>
  <si>
    <t>-1 武器组</t>
  </si>
  <si>
    <t>+1 特性组</t>
  </si>
  <si>
    <t>+1 特性组
+2 武器组</t>
  </si>
  <si>
    <t>+1 特性组
+3 武器组</t>
  </si>
  <si>
    <t>-1 武器组
-1 护甲组</t>
  </si>
  <si>
    <t>-1 护甲组</t>
  </si>
  <si>
    <t>+1 特性组
-1 武器组
-1 护甲组</t>
  </si>
  <si>
    <t>+1 特性组
-1 护甲组</t>
  </si>
  <si>
    <t>默认数量：
0 - 1 背景组
2 特性组
3 武器组
2 护甲组
2 战斗风格组</t>
  </si>
  <si>
    <t>-1 战斗风格组</t>
  </si>
  <si>
    <t>+1 战斗风格组</t>
  </si>
  <si>
    <t>+1 武器组
+1 战斗风格组</t>
  </si>
  <si>
    <t>+1 特性组
+2 武器组
+1 护甲组
+2 战斗风格组</t>
  </si>
  <si>
    <t>+2 武器组
+1 战斗风格组</t>
  </si>
  <si>
    <t>+1 特性组
+2 武器组
+1 战斗风格组</t>
  </si>
  <si>
    <t>-1 护甲组
-1 战斗风格组</t>
  </si>
  <si>
    <t>+1 特性组
+1 武器组
+1 战斗风格组</t>
  </si>
  <si>
    <t>+2 武器组
+1 护甲组
+1 战斗风格组</t>
  </si>
  <si>
    <t>-2 武器组
+1 战斗风格组</t>
  </si>
  <si>
    <t>倍率</t>
    <phoneticPr fontId="26" type="noConversion"/>
  </si>
  <si>
    <t>权重倍率</t>
    <phoneticPr fontId="26" type="noConversion"/>
  </si>
  <si>
    <t>背景组</t>
    <phoneticPr fontId="26" type="noConversion"/>
  </si>
  <si>
    <t>特性组</t>
    <phoneticPr fontId="26" type="noConversion"/>
  </si>
  <si>
    <t>背景加成</t>
    <phoneticPr fontId="26" type="noConversion"/>
  </si>
  <si>
    <t>排除的天赋</t>
    <phoneticPr fontId="26" type="noConversion"/>
  </si>
  <si>
    <t>护甲</t>
    <phoneticPr fontId="26" type="noConversion"/>
  </si>
  <si>
    <t>头盔</t>
    <phoneticPr fontId="26" type="noConversion"/>
  </si>
  <si>
    <t>学徒</t>
    <phoneticPr fontId="26" type="noConversion"/>
  </si>
  <si>
    <t>刺客</t>
    <phoneticPr fontId="26" type="noConversion"/>
  </si>
  <si>
    <t>刺客（南</t>
    <phoneticPr fontId="26" type="noConversion"/>
  </si>
  <si>
    <t>野蛮人</t>
    <phoneticPr fontId="26" type="noConversion"/>
  </si>
  <si>
    <t>私生子</t>
    <phoneticPr fontId="26" type="noConversion"/>
  </si>
  <si>
    <t>野兽猎手</t>
    <phoneticPr fontId="26" type="noConversion"/>
  </si>
  <si>
    <t>乞丐</t>
    <phoneticPr fontId="26" type="noConversion"/>
  </si>
  <si>
    <t>乞丐（南</t>
    <phoneticPr fontId="26" type="noConversion"/>
  </si>
  <si>
    <t>肚皮舞</t>
    <phoneticPr fontId="26" type="noConversion"/>
  </si>
  <si>
    <t>弓匠</t>
    <phoneticPr fontId="26" type="noConversion"/>
  </si>
  <si>
    <t>打手</t>
    <phoneticPr fontId="26" type="noConversion"/>
  </si>
  <si>
    <t>屠夫</t>
    <phoneticPr fontId="26" type="noConversion"/>
  </si>
  <si>
    <t>屠夫（南</t>
    <phoneticPr fontId="26" type="noConversion"/>
  </si>
  <si>
    <t>商队伙计</t>
    <phoneticPr fontId="26" type="noConversion"/>
  </si>
  <si>
    <t>商队伙计（南</t>
    <phoneticPr fontId="26" type="noConversion"/>
  </si>
  <si>
    <t>伙友（矛哥</t>
    <phoneticPr fontId="26" type="noConversion"/>
  </si>
  <si>
    <t>伙友（火矛哥</t>
    <phoneticPr fontId="26" type="noConversion"/>
  </si>
  <si>
    <t>伙友（斧哥</t>
    <phoneticPr fontId="26" type="noConversion"/>
  </si>
  <si>
    <t>伙友（木槌哥</t>
    <phoneticPr fontId="26" type="noConversion"/>
  </si>
  <si>
    <t>伙友（弩哥</t>
    <phoneticPr fontId="26" type="noConversion"/>
  </si>
  <si>
    <t>伙友（弓哥</t>
    <phoneticPr fontId="26" type="noConversion"/>
  </si>
  <si>
    <t>转化邪教徒</t>
    <phoneticPr fontId="26" type="noConversion"/>
  </si>
  <si>
    <t>残疾</t>
    <phoneticPr fontId="26" type="noConversion"/>
  </si>
  <si>
    <t>残疾（南</t>
    <phoneticPr fontId="26" type="noConversion"/>
  </si>
  <si>
    <t>转信十字军</t>
    <phoneticPr fontId="26" type="noConversion"/>
  </si>
  <si>
    <t>十字军</t>
    <phoneticPr fontId="26" type="noConversion"/>
  </si>
  <si>
    <t>邪教徒</t>
    <phoneticPr fontId="26" type="noConversion"/>
  </si>
  <si>
    <t>临时工</t>
    <phoneticPr fontId="26" type="noConversion"/>
  </si>
  <si>
    <t>临时工（南</t>
    <phoneticPr fontId="26" type="noConversion"/>
  </si>
  <si>
    <t>逃兵</t>
    <phoneticPr fontId="26" type="noConversion"/>
  </si>
  <si>
    <t>废黜贵族</t>
    <phoneticPr fontId="26" type="noConversion"/>
  </si>
  <si>
    <t>阉人</t>
    <phoneticPr fontId="26" type="noConversion"/>
  </si>
  <si>
    <t>阉人（南</t>
    <phoneticPr fontId="26" type="noConversion"/>
  </si>
  <si>
    <t>农夫</t>
    <phoneticPr fontId="26" type="noConversion"/>
  </si>
  <si>
    <t>渔夫</t>
    <phoneticPr fontId="26" type="noConversion"/>
  </si>
  <si>
    <t>渔夫（南</t>
    <phoneticPr fontId="26" type="noConversion"/>
  </si>
  <si>
    <t>苦修</t>
    <phoneticPr fontId="26" type="noConversion"/>
  </si>
  <si>
    <t>赌徒</t>
    <phoneticPr fontId="26" type="noConversion"/>
  </si>
  <si>
    <t>赌徒（南</t>
    <phoneticPr fontId="26" type="noConversion"/>
  </si>
  <si>
    <t>角斗士</t>
    <phoneticPr fontId="26" type="noConversion"/>
  </si>
  <si>
    <t>起源角斗士</t>
    <phoneticPr fontId="26" type="noConversion"/>
  </si>
  <si>
    <t>掘墓人</t>
    <phoneticPr fontId="26" type="noConversion"/>
  </si>
  <si>
    <t>盗墓</t>
    <phoneticPr fontId="26" type="noConversion"/>
  </si>
  <si>
    <t>雇佣骑士、野骑士</t>
    <phoneticPr fontId="26" type="noConversion"/>
  </si>
  <si>
    <t>历史学家</t>
    <phoneticPr fontId="26" type="noConversion"/>
  </si>
  <si>
    <t>历史学家（南</t>
    <phoneticPr fontId="26" type="noConversion"/>
  </si>
  <si>
    <t>训狗</t>
    <phoneticPr fontId="26" type="noConversion"/>
  </si>
  <si>
    <t>猎人</t>
    <phoneticPr fontId="26" type="noConversion"/>
  </si>
  <si>
    <t>杂耍</t>
    <phoneticPr fontId="26" type="noConversion"/>
  </si>
  <si>
    <t>杂耍（南</t>
    <phoneticPr fontId="26" type="noConversion"/>
  </si>
  <si>
    <t>在逃杀手</t>
    <phoneticPr fontId="26" type="noConversion"/>
  </si>
  <si>
    <t>国王护卫</t>
    <phoneticPr fontId="26" type="noConversion"/>
  </si>
  <si>
    <t>林德虫杀手</t>
    <phoneticPr fontId="26" type="noConversion"/>
  </si>
  <si>
    <t>伐木工</t>
    <phoneticPr fontId="26" type="noConversion"/>
  </si>
  <si>
    <t>猎奴者</t>
    <phoneticPr fontId="26" type="noConversion"/>
  </si>
  <si>
    <t>石匠</t>
    <phoneticPr fontId="26" type="noConversion"/>
  </si>
  <si>
    <t>信使</t>
    <phoneticPr fontId="26" type="noConversion"/>
  </si>
  <si>
    <t>民兵</t>
    <phoneticPr fontId="26" type="noConversion"/>
  </si>
  <si>
    <t>磨工</t>
    <phoneticPr fontId="26" type="noConversion"/>
  </si>
  <si>
    <t>矿工</t>
    <phoneticPr fontId="26" type="noConversion"/>
  </si>
  <si>
    <t>诗人</t>
    <phoneticPr fontId="26" type="noConversion"/>
  </si>
  <si>
    <t>僧侣</t>
    <phoneticPr fontId="26" type="noConversion"/>
  </si>
  <si>
    <t>僧侣转苦修</t>
    <phoneticPr fontId="26" type="noConversion"/>
  </si>
  <si>
    <t>游牧</t>
    <phoneticPr fontId="26" type="noConversion"/>
  </si>
  <si>
    <t>游牧（远程</t>
    <phoneticPr fontId="26" type="noConversion"/>
  </si>
  <si>
    <t>老角斗士（事件</t>
    <phoneticPr fontId="26" type="noConversion"/>
  </si>
  <si>
    <t>老宣誓者</t>
    <phoneticPr fontId="26" type="noConversion"/>
  </si>
  <si>
    <t>兽人杀手</t>
    <phoneticPr fontId="26" type="noConversion"/>
  </si>
  <si>
    <t>平静苦修</t>
    <phoneticPr fontId="26" type="noConversion"/>
  </si>
  <si>
    <t>宣誓者</t>
    <phoneticPr fontId="26" type="noConversion"/>
  </si>
  <si>
    <t>小贩</t>
    <phoneticPr fontId="26" type="noConversion"/>
  </si>
  <si>
    <t>小贩（南</t>
    <phoneticPr fontId="26" type="noConversion"/>
  </si>
  <si>
    <t>皮条</t>
    <phoneticPr fontId="26" type="noConversion"/>
  </si>
  <si>
    <t>偷猎</t>
    <phoneticPr fontId="26" type="noConversion"/>
  </si>
  <si>
    <t>掠袭者</t>
    <phoneticPr fontId="26" type="noConversion"/>
  </si>
  <si>
    <t>捕鼠</t>
    <phoneticPr fontId="26" type="noConversion"/>
  </si>
  <si>
    <t>难民</t>
    <phoneticPr fontId="26" type="noConversion"/>
  </si>
  <si>
    <t>摄政王</t>
    <phoneticPr fontId="26" type="noConversion"/>
  </si>
  <si>
    <t>老兵</t>
    <phoneticPr fontId="26" type="noConversion"/>
  </si>
  <si>
    <t>佣兵</t>
    <phoneticPr fontId="26" type="noConversion"/>
  </si>
  <si>
    <t>仆人</t>
    <phoneticPr fontId="26" type="noConversion"/>
  </si>
  <si>
    <t>仆人（南</t>
    <phoneticPr fontId="26" type="noConversion"/>
  </si>
  <si>
    <t>羊倌</t>
    <phoneticPr fontId="26" type="noConversion"/>
  </si>
  <si>
    <t>羊倌（南</t>
    <phoneticPr fontId="26" type="noConversion"/>
  </si>
  <si>
    <t>奴隶</t>
    <phoneticPr fontId="26" type="noConversion"/>
  </si>
  <si>
    <t>奴隶（野蛮人</t>
    <phoneticPr fontId="26" type="noConversion"/>
  </si>
  <si>
    <t>奴隶（南</t>
    <phoneticPr fontId="26" type="noConversion"/>
  </si>
  <si>
    <t>扈从</t>
    <phoneticPr fontId="26" type="noConversion"/>
  </si>
  <si>
    <t>裁缝</t>
    <phoneticPr fontId="26" type="noConversion"/>
  </si>
  <si>
    <t>裁缝（南</t>
    <phoneticPr fontId="26" type="noConversion"/>
  </si>
  <si>
    <t>小偷</t>
    <phoneticPr fontId="26" type="noConversion"/>
  </si>
  <si>
    <t>小偷（南</t>
    <phoneticPr fontId="26" type="noConversion"/>
  </si>
  <si>
    <t>vagabond_background</t>
    <phoneticPr fontId="26" type="noConversion"/>
  </si>
  <si>
    <t>流民、流浪汉</t>
    <phoneticPr fontId="26" type="noConversion"/>
  </si>
  <si>
    <t>野人</t>
    <phoneticPr fontId="26" type="noConversion"/>
  </si>
  <si>
    <t>猎巫</t>
    <phoneticPr fontId="26" type="noConversion"/>
  </si>
  <si>
    <t>近战背景
战术家, 2
训练有素, 3
领袖, 0</t>
  </si>
  <si>
    <t>近战背景
战术家, 0
领袖, 0</t>
  </si>
  <si>
    <t>战术家, 0
毅力, 2
匕首, 0
长柄, 0
矛, 0
领袖, 0</t>
  </si>
  <si>
    <t>仅近战
灵活, .5
快速, .5
战术家, 0
毅力, 2
匕首, 0
长柄, 0
矛, 0
领袖, 0</t>
  </si>
  <si>
    <t>近战专家
领袖, 0
战术家, 4</t>
  </si>
  <si>
    <t>近战背景
战术家, 2
训练有素, 3
领袖, 0</t>
  </si>
  <si>
    <t>近战背景
战术家, 4
学生, 2</t>
  </si>
  <si>
    <t>近战专家
战术家, 5
训练有素, 3
精力, 2
弓, 0
弩, 0
匕首, 0
领袖, 0</t>
  </si>
  <si>
    <t>仅近战
灵活, 0
快速, 0
战术家, 0
精力, 2
凶狠, 2
匕首, 0
长柄, 0.25
矛 0.2
剑, 0.9
领袖, 0</t>
  </si>
  <si>
    <t>近战背景
战术家, 4</t>
  </si>
  <si>
    <t>近战背景
战术家, 2
凶狠 1.5
领袖, 2</t>
  </si>
  <si>
    <t>远程背景
战术家, 3
训练有素, 1.4
精力, 1.5
凶狠, 1.5</t>
  </si>
  <si>
    <t>近战专家
战术家, 3
凶狠, 2
领袖, 2</t>
  </si>
  <si>
    <t>近战专家
近战背景
战术家, 3
领袖, 10</t>
  </si>
  <si>
    <t>仅近战
近战专家
战术家, 3
训练有素, 5
重甲, 3
领袖, 20</t>
  </si>
  <si>
    <t>近战专家
仅近战
灵活, 4
快速, 4
坚韧, .66
精力, 3
凶狠, 3
毅力, .66
锤, .5
骨朵, .75
领袖, 0</t>
  </si>
  <si>
    <t>近战背景
坚韧, 2
毅力, 2</t>
  </si>
  <si>
    <t>近战背景
坚韧, 0.8
精力, 1.5</t>
  </si>
  <si>
    <t>近战背景
坚韧, 2
毅力, 2
领袖, 2</t>
  </si>
  <si>
    <t>近战背景
坚韧, .66</t>
  </si>
  <si>
    <t>近战背景
坚韧, 1.5</t>
  </si>
  <si>
    <t>近战背景
坚韧, .75
毅力, .25
发掘潜能, 2
领袖, 7.5</t>
  </si>
  <si>
    <t>仅近战
近战专家
坚韧, .5
毅力, .5
战术家, 4
匕首, 0</t>
  </si>
  <si>
    <t>仅近战
灵活, .5
快速, .5
坚韧, 2
毅力, 2
战术家, 0
匕首, 0
长柄, 0
矛, 0
剑, .9
领袖, 0</t>
  </si>
  <si>
    <t>近战背景
坚韧, .5
精力, .5
领袖, .5</t>
  </si>
  <si>
    <t>近战专家
战术家, 7.5
坚韧, .25
毅力, .5
弓, 0
弩, 0
领袖, 10</t>
  </si>
  <si>
    <t>近战背景
灵活, 1.2
快速, 1.2
坚韧, .75
毅力, .75</t>
  </si>
  <si>
    <t>近战背景
灵活, .75
快速, .75
领袖, .5
坚韧, .25</t>
  </si>
  <si>
    <t>近战背景
灵活, .75
快速, .75
坚韧, .25
领袖, .25</t>
  </si>
  <si>
    <t>灵活, .5
快速, .5
战术家, 2
坚韧, .25
毅力, .25</t>
  </si>
  <si>
    <t>近战背景
灵活, 1.2
快速, 1.2
坚韧, .8
毅力, .75
学生, 2</t>
  </si>
  <si>
    <t>近战背景
坚韧, .66
精力, 2
毅力, 2
领袖, .5</t>
  </si>
  <si>
    <t>仅近战
灵活, .9
快速, .8
坚韧, 3
毅力, 3</t>
  </si>
  <si>
    <t>猛力打击, +</t>
  </si>
  <si>
    <t>战术家, 2
坚韧,  .75
毅力, 0.75
锤, .5
骨朵, .75
猛力打击, .75
持盾战斗风格, .75
领袖, .8
学生, 2</t>
  </si>
  <si>
    <t>近战背景
近战专家
灵活, 2
快速, 2
坚韧, .66
凶狠, 2
毅力, .66
链枷, 0.75
锤, .5
骨朵, .75
持盾战斗风格, 0
领袖, 0</t>
  </si>
  <si>
    <t>持盾战斗风格, +</t>
  </si>
  <si>
    <t>Firelance
Adarga 持盾战斗风格</t>
  </si>
  <si>
    <t>战术家, 0
持盾战斗风格, 0
领袖, 0</t>
  </si>
  <si>
    <t>猛力打击, +
持盾战斗风格, +</t>
  </si>
  <si>
    <t>近战背景
灵活, 3
快速, 3
战术家, 4
持盾战斗风格, .5
领袖, 7.5</t>
  </si>
  <si>
    <t>灵活, 1.5
快速, 1.5
战术家, 0
持盾战斗风格, 0
领袖, 0</t>
  </si>
  <si>
    <t>近战专家
战术家, 0
训练有素, 0
精力, 3
凶狠, 2
弓, 0
弩, 0
匕首, 0
长柄, 0
远程战斗风格, 0.5
领袖, 0</t>
  </si>
  <si>
    <t>远程战斗风格, +</t>
  </si>
  <si>
    <t>弓, 0
弩, 0
远程战斗风格, 0.33
领袖, 0</t>
  </si>
  <si>
    <t>companion_远程战斗风格_background</t>
  </si>
  <si>
    <t>companion_远程战斗风格_southern_background</t>
  </si>
  <si>
    <t>近战专家
灵活, 2
快速, 2
凶狠, 3
弓, 0
弩, 0
匕首, 0
远程战斗风格, 0
领袖, 0</t>
  </si>
  <si>
    <t>近战专家
战术家, 3
训练有素, 1.4
精力, 1.5
凶狠, 1.5
弓, 0
弩, 0
远程战斗风格, 0.5</t>
  </si>
  <si>
    <t>nomad_远程战斗风格_background</t>
  </si>
  <si>
    <t>近战背景
重甲, 0</t>
  </si>
  <si>
    <t>2 Shamshir
2 重甲 Southern 骨朵
1 Two Handed Scimitar
1 剑lance
1 Pole骨朵
1 Fighting 斧
1 Fighting 矛
1 Two Handed 链枷
1 Two Handed Flanged 骨朵
1 Bardiche
If Offhand Free
Metal Round 持盾战斗风格
投掷 Net</t>
  </si>
  <si>
    <t>Gladiator Harness
  Light Gladiator Upgrade
  重甲 Gladiator Upgrade</t>
  </si>
  <si>
    <t>近战背景
灵活, 3
快速, 3
链枷, 3
长柄, 1.5
重甲, 0</t>
  </si>
  <si>
    <t>近战背景
毅力, .5
精力, 0
凶狠, 0
重甲, .5</t>
  </si>
  <si>
    <t>3 Adorned Mail Shirt
2 Adorned Warriors Armor
1 Adorned 重甲 Mail Hauberk</t>
  </si>
  <si>
    <t>3 重甲 Mail Coif
2 Adorned Closed Flat Top with Mail
1 Adorned Full Helm</t>
  </si>
  <si>
    <t>近战背景
坚韧, .8
重甲, 0
持盾战斗风格, 0</t>
  </si>
  <si>
    <t>近战背景
灵活, 3
快速, 3
重甲, 0</t>
  </si>
  <si>
    <t>远程背景
战术家, 3
精力, 2
凶狠, 2
重甲, 0
领袖, 10</t>
  </si>
  <si>
    <t>猛力打击, +
灵巧打击, +</t>
  </si>
  <si>
    <t>灵巧打击, +</t>
  </si>
  <si>
    <t>近战背景
毅力, 3
凶狠, 3
重甲, 0
猛力打击, 2
持盾战斗风格, 0
灵巧打击, 2
领袖, 10</t>
  </si>
  <si>
    <t>猛力打击, +
持盾战斗风格, +
灵巧打击, +</t>
  </si>
  <si>
    <t>近战背景
坚韧, 2
毅力, .165
链枷, 1.5
骨朵 , 1.5
灵巧打击, .5</t>
  </si>
  <si>
    <t>仅近战
近战专家
灵活, .5
快速, .5
坚韧, .5
毅力, .5
战术家, 10
精力, 2
凶狠, 2
匕首, 0
领袖, 0</t>
  </si>
  <si>
    <t>发掘潜能</t>
    <phoneticPr fontId="26" type="noConversion"/>
  </si>
  <si>
    <t>天才</t>
    <phoneticPr fontId="26" type="noConversion"/>
  </si>
  <si>
    <t>adventurous_贵族_background</t>
  </si>
  <si>
    <t>贵族, +</t>
  </si>
  <si>
    <t>disowned_贵族_background</t>
  </si>
  <si>
    <t>4 Linen Tunic
1 贵族 Tunic</t>
  </si>
  <si>
    <t>4 Cloth Sash
1 贵族 Tunic</t>
  </si>
  <si>
    <t>Fighting 矛
贵族 剑
Buckler</t>
  </si>
  <si>
    <t>Leather Scale Armor
贵族 Mail
Mail Hauberk
Light Scale Armor
Footman Armor
Reinforced Mail Hauberk</t>
  </si>
  <si>
    <t>贵族 Tunic</t>
  </si>
  <si>
    <t>奸猾, +</t>
  </si>
  <si>
    <t>奸猾, 30
陷阱师, 70</t>
  </si>
  <si>
    <t>陷阱师, +</t>
  </si>
  <si>
    <t>劳工, +</t>
  </si>
  <si>
    <t>劳工, +
陷阱师, +</t>
  </si>
  <si>
    <t>劳工,+</t>
  </si>
  <si>
    <t>掠袭者, +</t>
  </si>
  <si>
    <t>掠袭者_background</t>
  </si>
  <si>
    <t>劳工, 20
掠袭者, 50
陷阱师, 10
野性 20</t>
  </si>
  <si>
    <t>野性, +</t>
  </si>
  <si>
    <t>民兵 矛
Wooden 持盾战斗风格</t>
  </si>
  <si>
    <t>民兵_background</t>
  </si>
  <si>
    <t>民兵, +</t>
  </si>
  <si>
    <t>民兵 矛
Nomad 骨朵
Saif
Light Southern 骨朵
Falchion
Adarga 持盾战斗风格</t>
  </si>
  <si>
    <t>士兵, +</t>
  </si>
  <si>
    <t>陷阱师, +
劳工, 20
掠袭者, 30
士兵, 50</t>
  </si>
  <si>
    <t>士兵, +
陷阱师, +</t>
  </si>
  <si>
    <t>retired_士兵_background</t>
  </si>
  <si>
    <t>Mail Coif
Nasal Helmet
Padded Nasal Helmet
Nasal Helmet with Mail
无</t>
  </si>
  <si>
    <t>Leather Headband
Bear Headpiece
Leather Helmet
无</t>
  </si>
  <si>
    <t>1 Hood
4 无</t>
  </si>
  <si>
    <t>1 Feather Hat
2 无</t>
  </si>
  <si>
    <t>Headscarf
Open Leather Cap
无</t>
  </si>
  <si>
    <t>Southern Head Wrap
Nomad Head Wrap
Nomad Leather Cap
无</t>
  </si>
  <si>
    <t>民兵, 60
士兵, 10
无, 30</t>
  </si>
  <si>
    <t>劳工, 40
掠袭者, 30
无, 30</t>
  </si>
  <si>
    <t>1 Nomad Head Wrap
4 无</t>
  </si>
  <si>
    <t>1 Headscarf
4 无</t>
  </si>
  <si>
    <t>1 Southern Head Wrap
4 无</t>
  </si>
  <si>
    <t>Bludgeon
民兵 矛
Hatchet
Short 弓
  Quiver of Arrows
1 Wooden 持盾战斗风格
3 无</t>
  </si>
  <si>
    <t>1 Hood
1 Open Leather Cap
1 Aketon Cap
1 Full Aketon Cap
2 无</t>
  </si>
  <si>
    <t>Short剑
Hatchet
民兵 矛
Buckler 持盾战斗风格
Wooden 持盾战斗风格
无</t>
  </si>
  <si>
    <t>1 Feathered Hat
1 Aketon Cap
1 Full Aketon Cap
1 Mail Coif
1 Nasal Helmet
1 Padded Nasal Helmet
3 无</t>
  </si>
  <si>
    <t>1 Straw Hat
2 无</t>
  </si>
  <si>
    <t>Straw Hat
无</t>
  </si>
  <si>
    <t>Wooden 链枷
Reinforced Wooden 链枷
无</t>
  </si>
  <si>
    <t>1 Feathered Hat
3 无</t>
  </si>
  <si>
    <t>Gladiator Helmet
无</t>
  </si>
  <si>
    <t>Hood
无</t>
  </si>
  <si>
    <t>1 Feathered Het
3 无</t>
  </si>
  <si>
    <t>1 Southern Head Wrap
3 无</t>
  </si>
  <si>
    <t>Open Leather Cap
无</t>
  </si>
  <si>
    <t>Jesters Hat
无</t>
  </si>
  <si>
    <t>Southern Head Wrap
无</t>
  </si>
  <si>
    <t>1 Straw Hat
1 Open Leather Cap
1 Aketon Cap
1 Full Leather Cap
1 Full Aketon Cap
2 无</t>
  </si>
  <si>
    <t>Mouthpiece
无</t>
  </si>
  <si>
    <t>Nomad Head Wrap
Nomad Leather Cap
Nomad LIght Helmet
无</t>
  </si>
  <si>
    <t>Dented Nasal Helmet
Nasal Helmet with Rusty Mail
无</t>
  </si>
  <si>
    <t>1 Aketon Cap
1 Full Aketon Cap
1 Rusty Mail Coif
1 Mail Coif
1 Nasal Helmet
1 Padded Nasal Helmet
3 无</t>
  </si>
  <si>
    <t>士兵, 50
掠袭者, 30
无, 20</t>
  </si>
  <si>
    <t>1 Hood
1 Mail Coif
1 Reinforced Mail Coif
1 Closed Mail Coif
1 Nasal Helmet
1 Kettle Hat
1 Padded Nasal Helmet
1 Padded Kettle Hat
2 无</t>
  </si>
  <si>
    <t>Tattered Sackcloth
Leather Wraps
3 无</t>
  </si>
  <si>
    <t>士兵, 50
无, 50</t>
  </si>
  <si>
    <t>Hatchet
Short剑
Boar 矛
Winged 骨朵
1 Wooden 持盾战斗风格
2 无</t>
  </si>
  <si>
    <t>Open Leather Cap
Aketon Cap
Full Aketon Cap
Nasal Helmet
无</t>
  </si>
  <si>
    <t>Feathered Hat
无</t>
  </si>
  <si>
    <t>1 Feathered Hat
1 Southern Head Wrap
2 无</t>
  </si>
  <si>
    <t>Hood
Straw Hat
无</t>
  </si>
  <si>
    <t>1 Leather Wraps
2 无</t>
  </si>
  <si>
    <t>轻甲, +</t>
  </si>
  <si>
    <t>轻甲 +
中甲 +</t>
  </si>
  <si>
    <t>轻甲, 50
中甲, 50</t>
  </si>
  <si>
    <t>中甲, +</t>
  </si>
  <si>
    <t>轻甲, +
中甲, +</t>
  </si>
  <si>
    <t>中甲 +
重甲 +</t>
  </si>
  <si>
    <t>中甲, +
重甲, +</t>
  </si>
  <si>
    <t>钢铁之躯, +</t>
  </si>
  <si>
    <t>职业士兵, 10
无, 90</t>
  </si>
  <si>
    <t>职业士兵, +</t>
  </si>
  <si>
    <t>贵族特技组</t>
  </si>
  <si>
    <t>奸猾特技组</t>
  </si>
  <si>
    <t>陷阱师特技组</t>
  </si>
  <si>
    <t>劳工特技组</t>
  </si>
  <si>
    <t xml:space="preserve">士兵特技组
</t>
  </si>
  <si>
    <t>劳工特技组
陷阱师特技组</t>
  </si>
  <si>
    <t>士兵特技组</t>
  </si>
  <si>
    <t>民兵特技组</t>
  </si>
  <si>
    <t>士兵特技组
陷阱师特技组</t>
  </si>
  <si>
    <t>掠袭者特技组</t>
  </si>
  <si>
    <t>奸猾或陷阱师特技组</t>
  </si>
  <si>
    <t>劳工, 掠袭者, 陷阱师或野性特技组</t>
  </si>
  <si>
    <t>+15%经验获取</t>
  </si>
  <si>
    <t>+5%经验获取
劳工特技组</t>
  </si>
  <si>
    <t>野性特技组
-15%经验获取</t>
  </si>
  <si>
    <t>+100%徒手伤害</t>
  </si>
  <si>
    <t>劳工特技组
总是满足于待在后备队里</t>
  </si>
  <si>
    <t>总是满足于待在后备队里</t>
  </si>
  <si>
    <t>士兵特技组
总是满足于待在后备队里</t>
  </si>
  <si>
    <t>一层就有独狼特技</t>
    <phoneticPr fontId="26" type="noConversion"/>
  </si>
  <si>
    <t>放出的狗自信</t>
    <phoneticPr fontId="26" type="noConversion"/>
  </si>
  <si>
    <t>+5%爆头率
奸猾特技组</t>
  </si>
  <si>
    <t>+10%爆头率
奸猾特技组</t>
  </si>
  <si>
    <t>后备队总会满意
非负债者友方死亡不触发士气检定
劳工特技组</t>
  </si>
  <si>
    <t>主副手装备
（基本没改，先没翻译）</t>
    <phoneticPr fontId="26" type="noConversion"/>
  </si>
  <si>
    <t>Hunting 弓
  Quiver of Arrows
  小刀
Boar 矛
Spetum
Javelin
50%
  投掷 Net</t>
  </si>
  <si>
    <t>1 小刀
1 Wooden Stick
3 无</t>
  </si>
  <si>
    <t>小刀
匕首
Bludgeon
Hatchet
Short剑</t>
  </si>
  <si>
    <t>小刀
Bludgeon
Light Southern 骨朵
Saif</t>
  </si>
  <si>
    <t>Light 弩
  Quiver of Bolts
小刀</t>
  </si>
  <si>
    <t>Composite 弓
  Quiver of Arrows
小刀</t>
  </si>
  <si>
    <t>小刀
匕首</t>
  </si>
  <si>
    <t>小刀
Wooden 链枷
Pitchfork
无</t>
  </si>
  <si>
    <t>小刀
无
投掷 Net</t>
  </si>
  <si>
    <t>Wooden Stick
小刀
无</t>
  </si>
  <si>
    <t>小刀
匕首
Wooden Stick
Broken Ancient 剑</t>
  </si>
  <si>
    <t>Hunting 弓
  Quiver of Arrows
50%
  小刀</t>
  </si>
  <si>
    <t>Wooden Stick
小刀
匕首
Hatchet
无</t>
  </si>
  <si>
    <t>1 Wooden Stick
1 小刀
3 无</t>
  </si>
  <si>
    <t>小刀
匕首
无</t>
  </si>
  <si>
    <t>50%
  Short 弓
    Quiver of Arrows
30%
  Staff Sling
20%
  Wonky 弓
    Quiver of Arrows
1 小刀
1 民兵 矛
3 无</t>
  </si>
  <si>
    <t>Wooden Stick
小刀</t>
  </si>
  <si>
    <t>小刀</t>
  </si>
  <si>
    <t>1 Wooden Stick
1 小刀
2 无</t>
  </si>
  <si>
    <t>Light 弩
  Quiver of Bolts
弩
  Quiver of Bolts
1 小刀
2 无</t>
  </si>
  <si>
    <t>1 小刀
2 匕首
1 切肉刀</t>
  </si>
  <si>
    <t>小刀
切肉刀
无</t>
  </si>
  <si>
    <t>圆盘匕首</t>
  </si>
  <si>
    <t>匕首
刺杀匕首（南匕
Daze Bomb
Smoke Bomb</t>
  </si>
  <si>
    <t>生命值
疲劳</t>
  </si>
  <si>
    <t>生命值
疲劳
决心
远防</t>
  </si>
  <si>
    <t>生命值
决心</t>
  </si>
  <si>
    <t>远程技能
远防</t>
  </si>
  <si>
    <t>远程技能
主动</t>
  </si>
  <si>
    <t>Short剑
Falchion
手斧
Wooden 持盾战斗风格</t>
  </si>
  <si>
    <t>Bludgeon
民兵 矛
Short剑
手斧
Hooked Blade
Warfork
IF OHF &amp;&amp; 50%
  Buckler 持盾战斗风格</t>
  </si>
  <si>
    <t>Boar 矛
Falchion
手斧
链枷
Morning Star
Military Pick
Wooden 持盾战斗风格</t>
  </si>
  <si>
    <t>Short剑
Boar 矛
Falchion
手斧
Wooden 持盾战斗风格</t>
  </si>
  <si>
    <t>Boar 矛
Falchion
链枷
手斧
Great斧
Long剑
Billhook
Winged 骨朵
War锤
弩
  Quiver of Bolts</t>
  </si>
  <si>
    <t>武装剑
Fighting 斧
Winged 骨朵
Military Pick
War锤
Billhoook
Long斧
Great斧
Zweihander
Long剑
Pole锤
Two Handed 链枷
Two Handed Flanged 骨朵
Bardiche
75%
  2 Wooden 持盾战斗风格
  Heater 持盾战斗风格
  Kite 持盾战斗风格</t>
  </si>
  <si>
    <t>武装剑
贵族 剑
Fencing 剑</t>
  </si>
  <si>
    <t>skeleton
Decisive
Formidable Approach
Rotation
Vigilant
T7 Weapon
Legate Command
若冠军（IF MINIBOSS）:
Inspiring Presence</t>
  </si>
  <si>
    <t>Night Immune
Injury Immune
Poison Immune
vampire_racial (Life Steal 1.0x)
Headhunter
Nine Lives
Resilient
Sanguinary
Terryfing Visage
精力
T7 Weapon
若冠军（IF MINIBOSS）:
  Sweeping Strikes</t>
  </si>
  <si>
    <t>skeleton
Calculated Strikes
Rotation
Rebuke
T7 Weapon
If Shield: Exploit Opening
IF AOE: Death Dealer
If 2h: Formidable Approach
若冠军（IF MINIBOSS）:
Menacing</t>
  </si>
  <si>
    <t>-50 主动
skeleton
Calculated Strikes
Rotation
Rebuke
If Shield: Exploit Opening
IF AOE: Death Dealer
If 2h: Formidable Approach
T7 Weapon
若冠军（IF MINIBOSS）:
Menacing</t>
  </si>
  <si>
    <t>Battleforged
Bully
Captain
Rotation
Onslaught
Inspiring Presence (force enabled)
Rally the Troops (rules)
Kriegsmesser: Crippling Strikes, 砍刀精通, 剑精通, En Garde
剑staff: 矛精通, King of all Weapons, Tempo, En Garde
else
T7 Weapon
If 4AP: Duelist
If 6AP: Formidable Approach
If Shield: Shield Expert
若冠军（IF MINIBOSS）:
Battle Fervor</t>
  </si>
  <si>
    <t>Battle Fervor
Battleforged
Bully
Captain
Decisive
Rotation
精力
Blitzkrieg
Inspiring Presence (force enabled)
Rally the Troops (rules)
If 4AP: Duelist
If 6AP: Formidable Approach
If Shield: Shield Expert
Kriegsmesser: Crippling Strikes, 砍刀精通, 剑精通, En Garde
剑staff: Tempo, 矛精通, King of all Weapons, En Garde
else
T7 Weapon
若冠军（IF MINIBOSS）:
Resilient</t>
  </si>
  <si>
    <t>剑, 斧, 骨朵, 链枷, 长柄, 投掷, 锤, 矛, 砍刀 Spec
Underdog
Adrenaline
Anticipation
Battleforged
Berserk
Crippling Strikes
Executioner
Resilient
Recover
Brawny
Pathfinder
Survival Instinct
毅力 Assault
投掷精通
Weapon T7
若冠军（IF MINIBOSS）:
Fearsome</t>
  </si>
  <si>
    <t>Fighting 斧
Noble 剑
Winged 骨朵
War锤
Zweihander
Great斧
Two Handed 锤
Two Handed Flanged 骨朵
Two Handed 链枷
Bardiche
Shield 60%
  Heater Shield
若冠军（IF MINIBOSS）:
Named 斧
Named 骨朵
Named 剑
Named Great斧
Named Zweihander
Named Two Handed 锤
Named Two Handed 骨朵
Named Two Handed 链枷
Named Bardiche
Named Wing Shield
Named Rider on Horse Shield
Named Golden Round Shield
Named Full Metal Heater Shield
Golden Scale Armor
Heraldic Mail Armor
Named Golden Lamellar Armor
Named Sell剑's Armor</t>
  </si>
  <si>
    <t>剑, 斧, 骨朵, 链枷, 长柄, 投掷, 锤, 矛, 砍刀 Spec
Brawny
Relentless
Pathfinder
快速 Adaptation
Shield Expert
Battleforged
Lone Wolf
Steel Brow
Resilient
Reach Advantage
Recover
Skirmisher
Pattern Recognition
毅力 Assault
If Shield
  Shield Expert
If Duelist Weapon:
  Duelist
else
  Man of Steel
若冠军（IF MINIBOSS）:
Fearsome</t>
  </si>
  <si>
    <t xml:space="preserve">Bardiche
Great斧
Two Handed 链枷
Two Handed 锤
Two Handed Flanged 骨朵
若冠军（IF MINIBOSS）:
Weapon 33%
  Named Bardiche
  Named Great斧
  Named Two Handed 链枷
  Named Two Handed 锤
  Named Two Handed 骨朵
Armor 33%
Helmet 33%
</t>
  </si>
  <si>
    <t>Battle Fervor
Battleforged
Berserk
Bully
Crippling Strikes
Executioner
Fearsome
Killing Frenzy
Menacing
Resilient
Savage Strength
Survival Instinct
Underdog
T7 Weapon
If AOE: Death Dealer, Sweeping Strikes
If not AOE: Formidable Approach
若冠军（IF MINIBOSS）:
Man of Steel</t>
  </si>
  <si>
    <t xml:space="preserve">War弓/Quiver
Heavy 弩/Quiver
Falchion
Hand斧
Rondel 匕首
Scramasax
若冠军（IF MINIBOSS）:
Weapon 70%
  Named War弓
  Named 弩
Armor 30%
</t>
  </si>
  <si>
    <t>Thick Tunic
Padded Surcoat
Gambeson
若冠军（IF MINIBOSS）:
Black Leather Armor
Blue Studded Mail Armor</t>
  </si>
  <si>
    <t>Battle Flow
Bullseye
Crippling Strikes
Executioner
Footwork
Finesse
Nimble
Pathfinder
Quick Hands
Rotation
Relentless
T7 Weapon
若冠军（IF MINIBOSS）:
Dodge</t>
  </si>
  <si>
    <t>Light:
Noble Mail
Medium:
Breastplate
Brigandine Armor
若冠军（IF MINIBOSS）:
Light:
  NamedArmorNorthern
  Stamina &gt; 16 (Weight 0)
Medium:
  NamedArmorNorthern
  26 &gt; Stamina &gt; 32</t>
  </si>
  <si>
    <t>Light: 
Duelist's Hat
Reinforced Mail Coif
Medium:
Zweihander Helmet
Padded Sallet Helmet
Barbute Helmet
Half Closed Sallet
若冠军（IF MINIBOSS）:
Light:
  NamedHelmetNorthern
 Stamina &gt; 8 (Weight 0)
Medium:
  NamedHelmetNorthern
   10 &gt; Stamina &gt; 16</t>
  </si>
  <si>
    <t>Battle Flow
Crippling Strikes
Dodge
Executioner
Footwork
Finesse
Overwhelm
If Light: Relentless, Nimble
If Medium: Skirmisher, Poise
T7 Weapon
Blade Dancer
Duelist
Exploit Opening
Warbrand: Double Strike
若冠军（IF MINIBOSS）:
Pattern Recognition</t>
  </si>
  <si>
    <t>Medium:
Breastplate
Brigandine Armor
若冠军（IF MINIBOSS）:
NamedArmorNorthern
  26 &gt; Stamina &gt; 32</t>
  </si>
  <si>
    <t>Medium:
Zweihander Helmet
Padded Sallet Helmet
Barbute Helmet
Half Closed Sallet
若冠军（IF MINIBOSS）:
NamedHelmetNorthern
   10 &gt; Stamina &gt; 16</t>
  </si>
  <si>
    <t>Battle Flow
Crippling Strikes
Dodge
Executioner
Footwork
Finesse
Overwhelm
Poise
Skirmisher
T7 剑
Formidable Approach
Rotation
Underdog
Versatile 剑sman
若冠军（IF MINIBOSS）:
Pattern Recognition</t>
  </si>
  <si>
    <t>Battle Flow
Crippling Strikes
Dodge
Executioner
Footwork
Finesse
Overwhelm
Light:
  Nimble
  Relentless
Medium:
  Skirmisher
  Poise
T7 Weapon
Duelist
Metzger
Rebuke
若冠军（IF MINIBOSS）:
Killing Frenzy</t>
  </si>
  <si>
    <t>Fencing 剑
Estoc
若冠军（IF MINIBOSS）:
Weapon 60%
  Named Fencing 剑
  Named Estoc
Armor 20%
Helmet 20%</t>
  </si>
  <si>
    <t>Light:
Noble Mail
若冠军（IF MINIBOSS）:
NamedArmorNorthern
  Stamina &gt; 16 (Weight 0)</t>
  </si>
  <si>
    <t>Light: 
Duelist's Hat
Reinforced Mail Coif
若冠军（IF MINIBOSS）:
NamedHelmetNorthern
 Stamina &gt; 8 (Weight 0)</t>
  </si>
  <si>
    <t>Battle Flow
Crippling Strikes
Dodge
Executioner
Footwork
Finesse
Overwhelm
Recover
Nimble
Relentless
T7 剑
Fencer
Precise
若冠军（IF MINIBOSS）:
Pattern Recognition</t>
  </si>
  <si>
    <t>Medium:
Zweihander Helmet
Padded Sallet Helmet
Barbute Helmet
Half Closed Sallet 
若冠军（IF MINIBOSS）:
NamedHelmetNorthern
   10 &gt; Stamina &gt; 16</t>
  </si>
  <si>
    <t>Battle Flow
Crippling Strikes
Dodge
Executioner
Footwork
Finesse
Overwhelm
Recover
Poise
Skirmisher
T7 剑
Death Dealer
Reaper
Sweeping Strikes
若冠军（IF MINIBOSS）:
Pattern Recognition</t>
  </si>
  <si>
    <t>goblin
1.25 Direct Damage Mult
投掷, 矛, 剑 Spec
+5 MeleeDefense (Day 50+)
+5 RangedDefense (Day 50+)
Backstabber (Day 50+)
+5 RangedSkill (Day 90+)
Backstabber
Kata (force enabled)
1h: T4 Weapon
2h: T3 Weapon, Crippling Strikes
若冠军（IF MINIBOSS）:
Nimble
Dodge
Relentless
Nine Lives
T7 Weapon
Duelist</t>
  </si>
  <si>
    <t>goblin
goblin ambusher racial
1.25 Direct Damage Mult
1.35 Direct Damage Mult (Day 180+)
1.1 Target Attraction Mult
弓 Spec
Vision 8
若冠军（IF MINIBOSS）:
Overwhelm
Dodge
Relentless
Headhunter
快速 Adaptation
弓精通
Target Practice
Hip Shooter</t>
  </si>
  <si>
    <t>Goblin Falchion
Goblin 矛
若冠军（IF MINIBOSS）:
Named Goblin Falchion
Named Goblin 矛</t>
  </si>
  <si>
    <t>Goblin 弩
Quiver of Bolts
Goblin Falchion
若冠军（IF MINIBOSS）:
Named Goblin Falchion</t>
  </si>
  <si>
    <t xml:space="preserve">Great斧
Kriegsmesser
Long剑
剑staff
Two Handed Flanged 骨朵
Two Handed 链枷
若冠军（IF MINIBOSS）:
Weapon 40%
  Named Great斧
  Named Kriegsmesser
  Named Long剑
  Named 剑staff
  Named Two Handed 骨朵
  Named Two Handed 链枷
Armor 30%
  205 &lt; condition &lt; 270
Helmet 30%
  200 &lt; condition &lt; 270 
</t>
  </si>
  <si>
    <t xml:space="preserve">Reinforced Mail Hauberk 210/26
Scale Armor 240/28
Reinforced Footman's Armor
若冠军（IF MINIBOSS）:
Brigandine Harness
Breastplate Armor
</t>
  </si>
  <si>
    <t>Skull Cap with Mail 210/12
Conical Billed Helmet 220/12
Sallet Helmet with Mail 240/14
Padded Conical Billed Helmet
若冠军（IF MINIBOSS）:
Sallet Helmet with Bevor
Half Closed Sallet with Mail
Visored Bascinet</t>
  </si>
  <si>
    <t>Battleforged
Finesse
Pattern Recognition
Rotation
剑/矛: Tempo, 剑精通, 矛精通, King of All Weapons
else
T7 Weapon
Duelist: Duelist
else: Formidable Approach
若冠军（IF MINIBOSS）:
Rebuke</t>
  </si>
  <si>
    <t xml:space="preserve">Zweihander
若冠军（IF MINIBOSS）:
Weapon 40%
  Named Great剑
Armor 30%
  205 &lt; condition &lt; 270
Helmet 30%
  200 &lt; condition &lt; 270 </t>
  </si>
  <si>
    <t>Reinforced Mail Hauberk 210/26
Scale Armor 240/28
若冠军（IF MINIBOSS）:
Brigandine Harness
Breastplate Armor</t>
  </si>
  <si>
    <t xml:space="preserve">Zweihander Helmet 160/7
若冠军（IF MINIBOSS）:
Padded Sallet Helmet
Barbute Helmet
Half Closed Sallet
</t>
  </si>
  <si>
    <t>Battleforged
Executioner
Footwork
Overwhelm
Skirmisher
Sweeping Strikes
The Rush of Battle
剑 T7
若冠军（IF MINIBOSS）:
Formidable Approach</t>
  </si>
  <si>
    <t xml:space="preserve">Fencing 剑
Estoc
若冠军（IF MINIBOSS）:
Weapon 40%
  Named Fencing 剑
  Named Estoc
Armor 30%
  condition &lt; 165
Helmet 30%
  condition &lt; 145 </t>
  </si>
  <si>
    <t>Basic Mail Shirt
Mail Shirt
Leather Scale Armor
若冠军（IF MINIBOSS）:
Noble Mail</t>
  </si>
  <si>
    <t xml:space="preserve">None 20%
  Headscarf
  Aketon Cap
  Full Aketon Cap
  Duelist's Hat
若冠军（IF MINIBOSS）:
 Duelist's Hat
</t>
  </si>
  <si>
    <t>Dodge
Duelist
Fencer
Footwork
Nimble
Pathfinder
Relentless
The Rush of Battle
T7 剑
若冠军（IF MINIBOSS）:
Overwhelm</t>
  </si>
  <si>
    <t>Fighting 斧
Noble 剑
War锤
Winged 骨朵
Shield 100%
  Faction Heater Shield
  Faction Kite Shield
若冠军（IF MINIBOSS）:
Weapon 25%
  Named 1h 斧
  Named 1h 剑
  Named 1h 锤
  Named 1h 骨朵
Shield 25%
  Named Shield
Armor 25%
  condition &gt; 260
Helmet 25%
  condition &gt; 265</t>
  </si>
  <si>
    <t>Battleforged
Duelist
Exude Confidence
Finesse
Mentor
Pattern Recognition
Rotation
Rush of Battle
Shield Expert
T7 Weapon
若冠军（IF MINIBOSS）:
Battle Fervor
Resilient</t>
  </si>
  <si>
    <t>Battleforged
Duelist
Exude Confidence
Finesse
Mentor
Pattern Recognition
Rebuke
Rush of Battle
Rotation
Shield Expert
T7 Weapon
若冠军（IF MINIBOSS）:
Battle Fervor
Resilient</t>
  </si>
  <si>
    <t>Shamshir
Heavy Southern 骨朵
Fighting 矛
Two Handed Scimitar
Metal Round Shield
投掷 35%
  Javelin
  投掷 矛
若冠军（IF MINIBOSS）:
Named Southern Melee Weapon
Named Southern Shield
Named Southern Armor
Named Southern Helmet</t>
  </si>
  <si>
    <t>剑, 斧, 骨朵, 链枷, 长柄, 投掷, 锤, 矛, 砍刀 Spec
Captain
Shield Expert
Brawny
Executioner
Quick Hands
Dodge
Nine Lives
Rotation
Recover
Pathfinder
Nimble (Day 40+)
Onslaught
Hold Steady
Rally the Troops (rules)
Shield Sergeant
Skirmisher
Duelist
T7 Weapon
Offhand Free: Double Strike
Shield: Shield Expert, Linebreaker
投掷: 投掷精通
若冠军（IF MINIBOSS）:
Underdog
Battle Flow
精力</t>
  </si>
  <si>
    <t>Shamshir
剑lance 2
若冠军（IF MINIBOSS）:
Weapon 75%
  Named Shamshir
  Named 剑lance 2
Armor 25%
  Black Leather Armor</t>
  </si>
  <si>
    <t>剑, 长柄, 矛, 砍刀 Spec
Anticipation
快速 Adaptation
Battle Flow
Nimble
Duelist
Underdog
Steel Brow
Headhunter
Crippling Strikes
Dodge
Berserk
Overwhelm
Pathfinder
Adrenaline
Footwork
Recover
Kata (force enabled)
Relentless
If 1h: T7 Weapon, Duelist
If 2h: T4 Weapon, Finesse, Sweeping Strikes
若冠军（IF MINIBOSS）:
1.25 Direct Damage Mult
Relentless
1h: Blade Dancer
2h: Death Dealer</t>
  </si>
  <si>
    <t xml:space="preserve">War 弓
Quiver of Arrows
匕首
Nomad 骨朵
Qatal 匕首
若冠军（IF MINIBOSS）:
Weapon 70%
  Named War弓
  Quiver of Arrows
Armor 30%
  Black Leather Armor
</t>
  </si>
  <si>
    <t>1.25 Direct Damage Mult
弓 Spec
Vision 8
Crippling Strikes
Executioner
Anticipation
Bullseye
快速 Adaptation
Battle Flow
Steel Brow
Quick Hands
Headhunter
Pathfinder
Nimble
Rotation
Footwork
Recover
Battle Flow
Small Target
T7 Weapon
若冠军（IF MINIBOSS）:
Finesse
Fresh and Furious
Relentless</t>
  </si>
  <si>
    <t>Bardiche
Two Handed Flanged 骨朵
Two Handed 链枷
Two Handed 锤
Two Handed Scimitar 2
若冠军（IF MINIBOSS）:
Weapon 50%
  Named Two Handed 锤
  Named Two Handed Scimitar 2
  Named Two Handed 骨朵
  Named Two Handed 链枷
  Bardiche
Named Southern Armors 50%
Named Southern Helmets ???</t>
  </si>
  <si>
    <t>Brawny
快速 Adaptation
Crippling Strikes
Executioner
Devastating Strikes
Battleforged
Battle Flow
Killing Frenzy
Berserk
Resilient
Steel Brow
Underdog
Relentless
Recover
Calculated Strikes
Fearsome
Menacing
Survival Instinct
T7 Weapon
If &lt;4AP weapon: Duelist
If &gt;=6AP weapon: Formidable Approach
If AOE: Sweeping Strikes
If not AOE: Small Target
若冠军（IF MINIBOSS）:
Reach Advantage
Skirmisher</t>
  </si>
  <si>
    <t>Orc 斧
Orc 砍刀
Orc Heavy Shield
若冠军（IF MINIBOSS）:
Weapon 50%
  Named Orc 砍刀
  Named Orc 斧
Shield 50%
  Named Orc Heavy Shield</t>
  </si>
  <si>
    <t>orc_racial
-0.1 Damage Total Mult
+5 MeleeSkill (Day 200+)
+0.1 Damage Total Mult (Day 200+)
Battering Ram
Stalwart
Shield Bash
Resilient
Menacing
Weapon T3
若冠军（IF MINIBOSS）:
Fearsome</t>
  </si>
  <si>
    <t>Orc 斧
Orc 砍刀
Orc 斧 2h 2
若冠军（IF MINIBOSS）:
Weapon 50%
  Named Orc 砍刀
  Named Orc 斧
Shield 50%
  Named Orc Heavy Shield</t>
  </si>
  <si>
    <t>斧, 砍刀 Spec
+5 MeleeSkill (Day 200+)
+0.1 Damage Total Mult (Day 200+)
orc_racial
Captain
Battering Ram
Resilient
Stalwart
Shield Bash
Fearsome
T7 Weapon
and
If 斧:
  -bearded blade, -hook shield
若冠军（IF MINIBOSS）:
精力</t>
  </si>
  <si>
    <t>Shamshir 2
Heavy Southern 骨朵 2
Fighting 斧 2
Fighting 矛
Two Handed Scimitar
剑lance
Pole骨朵
Two Handed 锤
Great斧
Two Handed 链枷
Two Handed Flanged 骨朵
Bardiche
If ideal range 1 投掷 50%
  投掷 斧
  Javelin
  投掷 矛
If OHF
  投掷 Net
  Metal Round Shield
若冠军（IF MINIBOSS）:
Weapon 25%
  Named Southern Melee Weapon
  Named Melee Weapon
Shield 25%
  Named Southern Shield
  Named Shield
Armor 25%
  Named Southern Armor
  Named Armor
Helmet 25%
  Named Southern Helmet
  Named Helmet</t>
  </si>
  <si>
    <t>剑, 斧, 骨朵, 链枷, 长柄, 投掷, 锤, 矛, 砍刀 Spec
Quick Hands
Brawny
Dodge
Overwhelm
Nimble
快速 Adaptation
Underdog
Footwork
Recover
Pathfinder
Poise
Survival Instinct
The Rush of Battle
T7 Weapon
If &lt;=4AP: Duelist
If &gt;=6AP: Formidable Approach
If 2 tile weapon: 长柄精通
若冠军（IF MINIBOSS）:
Nine Lives
Pattern Recognition</t>
  </si>
  <si>
    <t>剑, 斧, 骨朵, 链枷, 长柄, 投掷, 锤, 矛, 砍刀 Spec
Captain
Shield Expert
Battleforged
Brawny
快速 Adaptation
Crippling Strikes
Executioner
Rotation
Recover
Blitzkreig
Onslaught
Hold Steady
Shield Sergeant
Battle Fervor
Finesse
Exude Confidence
Inspiring Presence
Rally the Troops
T7 Weapon
If 1h: Duelist
else: Formidable Approach
If Shield: Shield Expert, Phalanx
若冠军（IF MINIBOSS）:
Nine Lives</t>
  </si>
  <si>
    <t>匕首
Knife
Butcher's 砍刀
Scramasax
若冠军（IF MINIBOSS）:
Named 匕首
Named Qatal 匕首</t>
  </si>
  <si>
    <t>3.0 Target Attraction Mult
Night Immune
Vision 8
Inspiring Presence (force enabled)
Soul Link
若冠军（IF MINIBOSS）:
9AP</t>
  </si>
  <si>
    <t>Winged 骨朵
Hand 斧
Fighting 斧
Morning Star
Arming 剑
链枷
Military 砍刀
Long剑
Great斧
Two Handed 链枷
IF OHF:
  Worn Heater Shield
  Worn Kite Shield
若冠军（IF MINIBOSS）:
  Weapon 50%
  Named 斧
  Named 砍刀
  Named 链枷
  Named Great斧
  Named Great剑
  Named 骨朵
  Named Two Handed 锤
  Named Two Handed 骨朵
  Named Two Handed 链枷
Shield 50%
  Named Undead Shields</t>
  </si>
  <si>
    <t>zombie
10 Surround Bonus
Night Immune
Injury Immune
Bleed Immune
Poison Immune
2.0 疲劳 Dealt Per Hit
+5 MeleeSkill (Day 90+)
+0.1 Damage Total Mult (Day 90+)
Battleforged
Fearsome
Reach Advantage
Backstabber
Resilient
Wear Them Down (force enabled)
T7 Weapon
If 剑: -kata
若冠军（IF MINIBOSS）:
Resilient
Nine Lives</t>
  </si>
  <si>
    <t>Heavy Rusty 斧
Rusty Warblade
Skull 锤
2h Spiked 骨朵
若冠军（IF MINIBOSS）:
Named Barb Weapon .33
著名铠甲.33
  Skull and Chain Armor w/ Barbarian Horn Upgrade
  Alloy Plate Armor
Named Barb Helmet .33</t>
  </si>
  <si>
    <t>Rusty Warblade
Heavy Rusty 斧
若冠军（IF MINIBOSS）:
Named Barb Weapon .33
著名铠甲.33
  Skull and Chain Armor w/ Barbarian Horn Upgrade
  Alloy Plate Armor
Named Barb Helmet .33</t>
  </si>
  <si>
    <t>Heavy Lamellar Armor
Coat of Plates
Coat of Scales
若冠军（IF MINIBOSS）:
著名铠甲Northern
  Remove Leopard Armor
  280 &gt; Condition (Weight 0)</t>
  </si>
  <si>
    <t xml:space="preserve">Fighting 斧
Fighting 矛
Military 砍刀
Noble 剑
War锤
Winged 骨朵
Long剑
Kriegsmesser
剑staff
Two Handed 链枷
Two Handed Flanged 骨朵
Zweihander
Shield 100% (if 1h)
Heater Shield
Kite Shield
若冠军（IF MINIBOSS）:
- Applicable Named Melee Weapon 25%
- Named Shield 20%
- 著名铠甲30%
- 著名头盔25%
</t>
  </si>
  <si>
    <t>Fighting 斧
Military 砍刀
Fighting 矛
Noble 剑
War锤
Winged 骨朵
Long剑
Kriegsmesser
剑staff
Two Handed 链枷
Two Handed Flanged 骨朵
Zweihander
Heater Shield
Kite Shield
若冠军（IF MINIBOSS）:
- Applicable Named Melee Weapon 25%
- Named Shield 20%
- 著名铠甲30%
- 著名头盔25%</t>
  </si>
  <si>
    <t>Closed Flat Top with Mail
Conic Helmet with Faceguard .5
Full Helm
若冠军（IF MINIBOSS）:
著名头盔Northern
  265 &gt; Condition &gt; 290 (Weight 0)</t>
  </si>
  <si>
    <t>Long剑
Great剑
Noble 剑
Warbrand
若冠军（IF MINIBOSS）:
著名武器60%
著名铠甲20%
著名头盔20%</t>
  </si>
  <si>
    <t>Zweihander
若冠军（IF MINIBOSS）:
著名武器60%
著名铠甲20%
著名头盔20%</t>
  </si>
  <si>
    <t>Shamshir
Southern Light Shield
若冠军（IF MINIBOSS）:
著名武器60%
著名铠甲20%
著名头盔20%</t>
  </si>
  <si>
    <t>Great剑
Zweihander
若冠军（IF MINIBOSS）:
著名武器60%
著名铠甲20%
著名头盔20%</t>
  </si>
  <si>
    <t>特技组按顺序从不同的组类别中骰出，每个骰出的组都会影响后续组的权重。</t>
  </si>
  <si>
    <t>这使我们可以生成高度动态又关联角色背景的特技组，也不会缺乏惊喜。</t>
  </si>
  <si>
    <t>对于其他模组添加的背景，如果没有设置动态特技树，会为其自动生成一条。</t>
    <phoneticPr fontId="26" type="noConversion"/>
  </si>
  <si>
    <t>触及距离是一个刻画了长短兵器对抗中的优劣势的战斗机制。</t>
    <phoneticPr fontId="26" type="noConversion"/>
  </si>
  <si>
    <t>每名角色都有一个触及属性，并会被武器特性特技效果等进一步修正。</t>
    <phoneticPr fontId="26" type="noConversion"/>
  </si>
  <si>
    <t>攻击时，触及长过对手命中率会提高，反之则会降低。</t>
    <phoneticPr fontId="26" type="noConversion"/>
  </si>
  <si>
    <t>大多数盾牌都基本无法摧毁（耐久度很高）。特定盾牌的耐久度依然很低（古代亡灵盾，哥布林盾等）</t>
    <phoneticPr fontId="26" type="noConversion"/>
  </si>
  <si>
    <t>劈盾被重命名为砸盾，会对目标施加疲劳。</t>
    <phoneticPr fontId="26" type="noConversion"/>
  </si>
  <si>
    <t>制作的盾牌和部分其他盾牌被重做，以适配盾牌重做，提供独有优势。</t>
  </si>
  <si>
    <t>盾牌的防御加成会因为疲劳积累而减少。盾牌专家能改善此情况，盾墙状态中则会移除这些减益。</t>
    <phoneticPr fontId="26" type="noConversion"/>
  </si>
  <si>
    <t>带有嵌入信息的提示栏顶部会有沙漏图标，会在两秒左右后消失，之后，该提示栏会被锁定，可以将鼠标悬停到其上方。你可以点击鼠标右键提前锁定它。</t>
    <phoneticPr fontId="26" type="noConversion"/>
  </si>
  <si>
    <t>敌人现在会根据其装备的武器和自身等级动态获得技能。</t>
    <phoneticPr fontId="26" type="noConversion"/>
  </si>
  <si>
    <t>敌人冠军如领袖一样，会提振其周围友军的决心。</t>
    <phoneticPr fontId="26" type="noConversion"/>
  </si>
  <si>
    <t>古代亡灵，强盗和贵族阵营都加入了新类型的敌人，拓展了其多样新、深度和后期内容。</t>
    <phoneticPr fontId="26" type="noConversion"/>
  </si>
  <si>
    <t>特技树是以加权随机方式生成的,角色的背景、特质、天赋和初始武器都会影响角色的特技组别。</t>
    <phoneticPr fontId="26" type="noConversion"/>
  </si>
  <si>
    <t>每点触及差值带来的回报递减，从+5开始，每次减少1，最多减少到1。因此，假设差值为6，触及较低对较高的角色攻击时，命中率会降低5 + 4 + 3 + 2 + 1 + 1 = 16% 。</t>
  </si>
  <si>
    <t>根据盾牌不同，可以在防守时无视进攻者1-3点触及。盾牌专家特技使你可在攻击时无视防御者的触及值。（怀疑是描述没改，应该在决斗特技里）</t>
    <phoneticPr fontId="26" type="noConversion"/>
  </si>
  <si>
    <t>斧精通会解锁“钩开盾牌”技能,降低目标的盾牌效果一回合</t>
    <phoneticPr fontId="26" type="noConversion"/>
  </si>
  <si>
    <t>2星天赋属性掷骰分布</t>
    <phoneticPr fontId="26" type="noConversion"/>
  </si>
  <si>
    <t>和以前相比两星天赋的升级属性可能会+-1，但数值分布会相对集中。例如：2星近攻可以掷出2-4，但10次升级的平均会是25-35而非20-40。</t>
    <phoneticPr fontId="26" type="noConversion"/>
  </si>
  <si>
    <t>11级后，每4个等级，兄弟会获得额外的特技点。(15, 19...)</t>
    <phoneticPr fontId="26" type="noConversion"/>
  </si>
  <si>
    <t>在其第一个回合中，角色会因主动值不同加减AP。值为(主动/40)-2。</t>
    <phoneticPr fontId="26" type="noConversion"/>
  </si>
  <si>
    <t>例如，日安棒的适用精通为 矛， 骨朵.。因此，如果你有矛精通，你也会获得骨朵精通的加成效果，锤倒技能会有100%几率击晕对手。</t>
    <phoneticPr fontId="26" type="noConversion"/>
  </si>
  <si>
    <t>当因穿着重甲将疲劳值上限降低到一定阈值(50, 40, 30, 20)以下时，疲劳值恢复量会减少，每格移动的疲劳值积累则会增加。</t>
    <phoneticPr fontId="26" type="noConversion"/>
  </si>
  <si>
    <t>这防止了著名的逃课流（cheesy）“无体（fatigue neutral）”构筑。</t>
    <phoneticPr fontId="26" type="noConversion"/>
  </si>
  <si>
    <t>同类别不同级别的武器消耗的疲劳和行动点数不同。例如，伐木斧的裂身斩技能消耗5AP而非6AP。</t>
    <phoneticPr fontId="26" type="noConversion"/>
  </si>
  <si>
    <t>敌人的 "低级 "变种： 有些人可能不知道，游戏中的许多敌人都有 "低级 "变种，作为基础敌人的一个较弱版本，在基础版敌人出现之前出现。 我们删除了这些变种，转而对每种敌人单独命名、单独设计，大体维持在一个类似的强度。</t>
  </si>
  <si>
    <t>穿甲剑，战斗斧，强化木制长链枷，长链枷，巨剑，长剑和剑杖。（原文没提双手剑/砍杂种武器，不知道是什么用意）</t>
    <phoneticPr fontId="26" type="noConversion"/>
  </si>
  <si>
    <t>决斗者会在配盾或使用4AP双手武器时生效，分别有不同的效果。</t>
    <phoneticPr fontId="26" type="noConversion"/>
  </si>
  <si>
    <t>所有的长杆武器（即有两格攻击范围的双手武器）都会受到长柄精通的-1AP效果。</t>
    <phoneticPr fontId="26" type="noConversion"/>
  </si>
  <si>
    <t>哥布林|地精武器</t>
    <phoneticPr fontId="26" type="noConversion"/>
  </si>
  <si>
    <t>哥布林武器使用技能消耗的疲劳减少。近战武器还会-1AP消耗。</t>
    <phoneticPr fontId="26" type="noConversion"/>
  </si>
  <si>
    <t>三头链枷</t>
    <phoneticPr fontId="26" type="noConversion"/>
  </si>
  <si>
    <t>重弩</t>
    <phoneticPr fontId="26" type="noConversion"/>
  </si>
  <si>
    <t>现在默认装填5AP，弩精通减至4AP。</t>
    <phoneticPr fontId="26" type="noConversion"/>
  </si>
  <si>
    <t>烟雾弹提供的远防翻倍，即加30点。</t>
    <phoneticPr fontId="26" type="noConversion"/>
  </si>
  <si>
    <t>造成伤害的兄弟会被视为“击杀者”。他们会按照造成伤害占他们总伤害的百分比分享“击杀者经验值”（该阵营获得经验的20%）。</t>
    <phoneticPr fontId="26" type="noConversion"/>
  </si>
  <si>
    <t>只要你的阵营对一个实体造成的伤害不低于50%，你阵营中对它造成伤害最多的活着的兄弟会被视为其击杀者（战利品掉落结算上的）。即你不需要完成最后一击来获得掉落的战利品。</t>
    <phoneticPr fontId="26" type="noConversion"/>
  </si>
  <si>
    <t>乌眼青 | 钝击头部伤残 | -1 视野, -10% 近攻, -10% 远攻 | 1到3天</t>
    <phoneticPr fontId="26" type="noConversion"/>
  </si>
  <si>
    <t>下巴脱臼 | 钝击头部伤残 | -3 疲劳恢复, -30%使用非攻击技能时的决心 | 1到3天</t>
    <phoneticPr fontId="26" type="noConversion"/>
  </si>
  <si>
    <t>热射病 | 燃烧身体伤残 | 20%额外疲劳积累, -20% 主动 | 1到3天</t>
    <phoneticPr fontId="26" type="noConversion"/>
  </si>
  <si>
    <t>护送商队时，你可以进入最远1格以外的城市。</t>
    <phoneticPr fontId="26" type="noConversion"/>
  </si>
  <si>
    <t>战斗的第一轮中，毒药可以0AP使用。</t>
    <phoneticPr fontId="26" type="noConversion"/>
  </si>
  <si>
    <t>黑夜效果现提供每格10%的命中减益而非固定值。</t>
    <phoneticPr fontId="26" type="noConversion"/>
  </si>
  <si>
    <r>
      <t>低级敌人：特定阵营的最低级敌人得到了加强。甚至强过了模组中的大多数其他敌人。这就意味着，你会在游戏的更晚阶段才会面对这些敌人。这些敌人包括：食尸鬼、恐狼、大蛇、鬣狗：我们希望野兽像背景（lore）中提到的一样，整体上更有挑战性和威慑力。游牧割喉者、野蛮人战奴：割喉者比战奴加强的稍多一些，但都强过了其强盗对位。</t>
    </r>
    <r>
      <rPr>
        <b/>
        <sz val="12"/>
        <color theme="1"/>
        <rFont val="华文中宋"/>
        <family val="3"/>
        <charset val="134"/>
      </rPr>
      <t>注意，割喉者不再在40天时获得闪避，而是第一天就有。</t>
    </r>
    <phoneticPr fontId="26" type="noConversion"/>
  </si>
  <si>
    <t>*即星星</t>
    <phoneticPr fontId="26" type="noConversion"/>
  </si>
  <si>
    <t>专业、职业、背景组Exclusive</t>
    <phoneticPr fontId="26" type="noConversion"/>
  </si>
  <si>
    <t>坚韧, 1.2</t>
    <phoneticPr fontId="26" type="noConversion"/>
  </si>
  <si>
    <t>右边解释了动态特技树的生成过程 ---------&gt;</t>
    <phoneticPr fontId="26" type="noConversion"/>
  </si>
  <si>
    <t>训练有素, +
返朴归真, 2.5
职业士兵, +</t>
    <phoneticPr fontId="26" type="noConversion"/>
  </si>
  <si>
    <t>特性\共有组Shared</t>
    <phoneticPr fontId="26" type="noConversion"/>
  </si>
  <si>
    <t>返朴归真, 0
发掘潜能, 0
天才, 0
学生, 0</t>
    <phoneticPr fontId="26" type="noConversion"/>
  </si>
  <si>
    <t>领袖, .5
毅力, .5
精力, .5</t>
    <phoneticPr fontId="26" type="noConversion"/>
  </si>
  <si>
    <t>若 (无弓,无弩,无投掷)
0</t>
    <phoneticPr fontId="26" type="noConversion"/>
  </si>
  <si>
    <t>公式(百分比)</t>
    <phoneticPr fontId="26" type="noConversion"/>
  </si>
  <si>
    <t>25 x 主动天赋 x 近攻天赋</t>
    <phoneticPr fontId="26" type="noConversion"/>
  </si>
  <si>
    <t>剑武器树
&gt; 100 主动</t>
    <phoneticPr fontId="26" type="noConversion"/>
  </si>
  <si>
    <t>10 x 疲劳天赋</t>
    <phoneticPr fontId="26" type="noConversion"/>
  </si>
  <si>
    <t>1+疲劳天赋
重甲树</t>
    <phoneticPr fontId="26" type="noConversion"/>
  </si>
  <si>
    <t>10 x 远攻天赋</t>
    <phoneticPr fontId="26" type="noConversion"/>
  </si>
  <si>
    <t>1+ 远攻天赋
远程战斗风格树</t>
    <phoneticPr fontId="26" type="noConversion"/>
  </si>
  <si>
    <t>坚韧+10血</t>
    <phoneticPr fontId="26" type="noConversion"/>
  </si>
  <si>
    <t>仅近战
近战专家
战术家, 3
训练有素, 5
重甲, 3
领袖, 20</t>
    <phoneticPr fontId="26" type="noConversion"/>
  </si>
  <si>
    <t>权重组
仅近战
弓, 0
弩, 0
投掷, 0
远程战斗风格, 0
近战专家
矛, .8
剑, .9
近战背景
弓, 0
弩, 0.8
远程战斗风格, 0.33
远程背景
弓, 6
弩, 4
投掷, 2
远程战斗风格, 1.5</t>
    <phoneticPr fontId="26" type="noConversion"/>
  </si>
  <si>
    <t>手斧
武装剑
Winged 骨朵
Heater 持盾战斗风格
Kite 持盾战斗风格</t>
    <phoneticPr fontId="26" type="noConversion"/>
  </si>
  <si>
    <t>远程背景
轻甲, 1.5
重甲, 0</t>
    <phoneticPr fontId="26" type="noConversion"/>
  </si>
  <si>
    <t>+10近战攻击，仅限使用下列武器时生效：切肉刀
劳工特技组</t>
    <phoneticPr fontId="26" type="noConversion"/>
  </si>
  <si>
    <t>仅近战
灵活, .75
快速, .75
战术家, 0
凶狠, 1.5
匕首, 0
矛, 0
剑, .9
重甲, 3
领袖, 0</t>
    <phoneticPr fontId="26" type="noConversion"/>
  </si>
  <si>
    <t>劳工特技组
+10近战攻击，仅限使用下列武器时生效：草叉
+5近战攻击，仅限使用下列武器时生效：钩刃</t>
    <phoneticPr fontId="26" type="noConversion"/>
  </si>
  <si>
    <t>陷阱师, +
以及
劳工, 20
掠袭者, 30
士兵, 50</t>
    <phoneticPr fontId="26" type="noConversion"/>
  </si>
  <si>
    <t>(一层独狼)</t>
    <phoneticPr fontId="26" type="noConversion"/>
  </si>
  <si>
    <t>+10近战攻击，仅限使用下列武器时生效：小斧
+10近战攻击，仅限使用下列武器时生效：伐木斧
劳工特技组</t>
    <phoneticPr fontId="26" type="noConversion"/>
  </si>
  <si>
    <t>Hatchet
Hand斧
Woodcutters 斧</t>
    <phoneticPr fontId="26" type="noConversion"/>
  </si>
  <si>
    <t>+10近战攻击，仅限使用下列武器时生效：鹤嘴镐
劳工特技组</t>
    <phoneticPr fontId="26" type="noConversion"/>
  </si>
  <si>
    <t>必定获得领袖特技组</t>
    <phoneticPr fontId="26" type="noConversion"/>
  </si>
  <si>
    <t>Gladiator Harness
  Light Gladiator Upgrade
  重甲 Gladiator Upgrade</t>
    <phoneticPr fontId="26" type="noConversion"/>
  </si>
  <si>
    <t>仅近战
近战专家
灵活, 2
快速, 2
战术家, 4
天赋, 2（文件里并没看到）
精力, 3
匕首, 0
领袖, 20</t>
    <phoneticPr fontId="26" type="noConversion"/>
  </si>
  <si>
    <t>变为摄政王时，获得贵族特技组和免费的家族自豪感特技</t>
    <phoneticPr fontId="26" type="noConversion"/>
  </si>
  <si>
    <t>80%概率获得士兵或掠袭者特技组</t>
    <phoneticPr fontId="26" type="noConversion"/>
  </si>
  <si>
    <t>+10%投石杖命中率
劳工特技组</t>
    <phoneticPr fontId="26" type="noConversion"/>
  </si>
  <si>
    <t>近战背景
灵活, .75
快速, .75
毅力, 1.25
领袖, .25</t>
    <phoneticPr fontId="26" type="noConversion"/>
  </si>
  <si>
    <t>几率士兵特技组</t>
    <phoneticPr fontId="26" type="noConversion"/>
  </si>
  <si>
    <t>士兵, +
以及
剑术大师, +</t>
    <phoneticPr fontId="26" type="noConversion"/>
  </si>
  <si>
    <t>Devious（没见别处用过，估计就是奸猾）, +</t>
    <phoneticPr fontId="26" type="noConversion"/>
  </si>
  <si>
    <t>+20恐惧、惊骇和心灵控制对抗决心</t>
    <phoneticPr fontId="26" type="noConversion"/>
  </si>
  <si>
    <t xml:space="preserve">cleave: 行动点 = +2, 疲劳 = </t>
  </si>
  <si>
    <t>pound: 行动点 = -1, 疲劳 = -2
thresh: 行动点 = -1, 疲劳 = -5</t>
  </si>
  <si>
    <t>smite: 行动点 = -1, 疲劳 = -2
shatter: 行动点 = -1, 疲劳 = -5
砸盾: 行动点 = +1, 疲劳 = +2</t>
  </si>
  <si>
    <t>cudgel: 行动点 = -1, 疲劳 = -1
strike_down: 行动点 = -1, 疲劳 = -5
砸盾: 行动点 = +1, 疲劳 = +2</t>
  </si>
  <si>
    <t>impale: 行动点 = -1, 疲劳 = -3
repel: 行动点 = -1, 疲劳 = -5</t>
  </si>
  <si>
    <t>prong: 行动点 = -1, 疲劳 = -3
矛wall: 行动点 = +1, 疲劳 = -6</t>
  </si>
  <si>
    <t>thrust: 行动点 = -1, 疲劳 = -4
矛wall: 行动点 = -1, 疲劳 = -12
riposte: 行动点 = -1, 疲劳 = -10</t>
  </si>
  <si>
    <t>slash: 行动点 = -1, 疲劳 = -2
riposte: 行动点 = -1, 疲劳 = -5</t>
  </si>
  <si>
    <t>overhead_strike: 行动点 = -1, 疲劳 = -3
split: 行动点 = -1, 疲劳 = -5
swing: 行动点 = -1, 疲劳 = -5
砸盾: 行动点 = +1, 疲劳 = +5</t>
  </si>
  <si>
    <t>chop: 行动点 = 基础值, 疲劳 = -3
砸盾: 行动点 = 基础值, 疲劳 = -3</t>
  </si>
  <si>
    <t>chop: 行动点 = 基础值, 疲劳 = 基础值
砸盾: 行动点 = 基础值, 疲劳 = 基础值</t>
  </si>
  <si>
    <t>chop: 行动点 = 基础值, 疲劳 = -1
砸盾: 行动点 = 基础值, 疲劳 = -1</t>
  </si>
  <si>
    <t>chop: 行动点 = 基础值, 疲劳 = 基础值
砸盾: 行动点 = 基础值, 疲劳 = +5</t>
  </si>
  <si>
    <t>split_man: 行动点 = -1, 疲劳 = 基础值
砸盾: 行动点 = +1 疲劳 = 基础值
round_swing: 行动点 = -1, 疲劳 = -5</t>
  </si>
  <si>
    <t>chop: 行动点 = 基础值, 疲劳 = +2
split_man: 行动点 = -1, 疲劳 = 基础值
砸盾: 行动点 = 基础值, 疲劳 = 基础值</t>
  </si>
  <si>
    <t>strike: 行动点 = 基础值, 疲劳 = 基础值
砸盾: 行动点 = +2, 疲劳 = +10</t>
  </si>
  <si>
    <t>hew: 行动点 = 基础值, 疲劳 = 基础值
impale: 行动点 = 基础值, 疲劳 = 基础值
strike: 行动点 = 基础值, 疲劳 = 基础值</t>
  </si>
  <si>
    <t>split_man: 行动点 = 基础值, 疲劳 = 基础值
round_swing: 基础值
砸盾: 行动点 = +2, 疲劳 = +5</t>
  </si>
  <si>
    <t>split_man: 行动点 = 基础值, 疲劳 = 基础值
split_斧: 行动点 = 基础值, 疲劳 = 基础值
砸盾: 行动点 = +2, 疲劳 = +5</t>
  </si>
  <si>
    <t>split_man: 行动点 = 基础值, 疲劳 = 基础值
round_swing: 行动点 = 基础值, 疲劳 = 基础值
砸盾: 行动点 = +2, 疲劳 = 基础值 + 5</t>
  </si>
  <si>
    <t>锤: 行动点 = 基础值, 疲劳 = 基础值
砸盾: 行动点 = 基础值, 疲劳 = 基础值</t>
  </si>
  <si>
    <t>quick_shot: 行动点 = 基础值, 疲劳 = -3
aimed_shot: 行动点 = 基础值, 疲劳 =  -5</t>
  </si>
  <si>
    <t>quick_shot: 行动点 = 基础值, 疲劳 = -2
aimed_shot: 行动点 = 基础值, 疲劳 =  -3</t>
  </si>
  <si>
    <t>quick_shot: 行动点 = 基础值, 疲劳 = -1
aimed_shot: 行动点 = 基础值 , 疲劳 = -2</t>
  </si>
  <si>
    <t>quick_shot: 行动点 = 基础值, 疲劳 = 基础值
aimed_shot: 行动点 = 基础值 , 疲劳 = 基础值</t>
  </si>
  <si>
    <t>cleave: 行动点 = 基础值, 疲劳 = -3
gash: 行动点 = 基础值, 疲劳  = -5</t>
  </si>
  <si>
    <t>cleave: 行动点 = 基础值, 疲劳 = -2
decapitate: 行动点 = 基础值, 疲劳 = -3</t>
  </si>
  <si>
    <t>cleave: 行动点 = 基础值, 疲劳 = 基础值
decapitate: 行动点 = 基础值, 疲劳 = 基础值</t>
  </si>
  <si>
    <t>cleave: 行动点 = 基础值, 疲劳 = -1
decapitate: 行动点 = 基础值, 疲劳 = -2</t>
  </si>
  <si>
    <t>cleave: 行动点 = 基础值, 疲劳 = +2
decapitate: 行动点 = 基础值, 疲劳 = -2</t>
  </si>
  <si>
    <t>great cleave: 行动点 = 基础值, 疲劳 = 基础值
decapitate: 行动点 +2 = 基础值, 疲劳 = 基础值
砸盾: 行动点 = +2, 疲劳 = +5</t>
  </si>
  <si>
    <t>cleave: 行动点 = 基础值, 疲劳 = +3
decapitate: 行动点 = 基础值, 疲劳 = 基础值
砸盾: 行动点 = 基础值, 疲劳 = +5</t>
  </si>
  <si>
    <t>great_cleave: 行动点 = 基础值, 疲劳 = 基础值
cleaving_split: 行动点 = 基础值, 疲劳 = 基础值
cleaving_swing: 行动点 = 基础值, 疲劳 = 基础值
砸盾: 行动点 = +2, 疲劳 = +5</t>
  </si>
  <si>
    <t>cleave: 行动点 = 基础值, 疲劳 = -1
decapitate: 行动点 = 基础值, 疲劳 = -2
riposte: 行动点 = 基础值, 疲劳 = -3</t>
  </si>
  <si>
    <t>cleave: 行动点 = 基础值, 疲劳 = 基础值
decapitate: 行动点 = 基础值, 疲劳 = 基础值
riposte: 行动点 = 基础值, 疲劳 = 基础值</t>
  </si>
  <si>
    <t>reload_bolt: 行动点 = 基础值, 疲劳 = -5
shoot_bolt: 基础值</t>
  </si>
  <si>
    <t>基础值</t>
  </si>
  <si>
    <t>reload_bolt: 行动点 = 基础值, 疲劳 = -2
shoot_bolt: 基础值</t>
  </si>
  <si>
    <t>reload_bolt: 行动点 = +1, 疲劳 = 基础值
shoot_bolt: 行动点 = 基础值, 疲劳 = 基础值</t>
  </si>
  <si>
    <t>reload_bolt: 行动点 = 基础值, 疲劳 = 基础值
shoot_bolt: 行动点 = 基础值, 疲劳 = 基础值</t>
  </si>
  <si>
    <t>stab: 行动点 = 基础值, 疲劳 = -2
puncture: 行动点 = 基础值, 疲劳 = -5</t>
  </si>
  <si>
    <t>stab: 行动点 = 基础值, 疲劳 = -1
puncture: 行动点 = 基础值, 疲劳 = -3</t>
  </si>
  <si>
    <t>stab: 行动点 = 基础值, 疲劳 = 基础值
puncture: 行动点 = 基础值, 疲劳 = 基础值</t>
  </si>
  <si>
    <t>stab: 行动点 = 基础值, 疲劳 = 基础值 (slice)
deathblow: 行动点 = 基础值, 疲劳 = 基础值</t>
  </si>
  <si>
    <t>链枷: 行动点 = 基础值, 疲劳 = -2
lash: 行动点 = 基础值, 疲劳 = -5</t>
  </si>
  <si>
    <t>链枷: 行动点 = 基础值, 疲劳 = -1
lash: 行动点 = 基础值, 疲劳 = -2</t>
  </si>
  <si>
    <t>pole链枷_链枷: 行动点 = 基础值, 疲劳 = -2
pole链枷_lash: 行动点 = 基础值, 疲劳 = -5</t>
  </si>
  <si>
    <t>链枷: 行动点 = 基础值, 疲劳 = 基础值
lash: 行动点 = 基础值, 疲劳 = 基础值</t>
  </si>
  <si>
    <t>cascade: 行动点 = 基础值, 疲劳 = 基础值 +2
hail: 行动点 = 基础值, 疲劳 = 基础值 +5</t>
  </si>
  <si>
    <t>pole链枷_链枷: 行动点 = 基础值, 疲劳 = 基础值
pole链枷_lash: 行动点 = 基础值, 疲劳 = 基础值</t>
  </si>
  <si>
    <t>pound: 行动点 = 基础值, 疲劳 = 基础值
thresh: 基础值</t>
  </si>
  <si>
    <t>锤: 行动点 = 基础值, 疲劳 = -2
crush armor: 行动点 = 基础值, 疲劳 = -3</t>
  </si>
  <si>
    <t>锤: 行动点 = 基础值, 疲劳 = -1
crush armor: 行动点 = 基础值, 疲劳 = -2</t>
  </si>
  <si>
    <t>锤: 行动点 = 基础值, 疲劳 = 基础值
crush armor: 行动点 = 基础值, 疲劳 = 基础值</t>
  </si>
  <si>
    <t>smite: 行动点 = 基础值, 疲劳 = 基础值
shatter: 基础值
砸盾: 行动点 = +2, 疲劳 = +5</t>
  </si>
  <si>
    <t>bash: 基础值
knock_out: 行动点 = 基础值, 疲劳 = -10</t>
  </si>
  <si>
    <t>bash: 行动点 = 基础值, 疲劳 = -3
knock_out: 行动点 = 基础值, 疲劳 = -5</t>
  </si>
  <si>
    <t>bash: 行动点 = 基础值, 疲劳 = -2
knock_out: 行动点 = 基础值, 疲劳 = -3</t>
  </si>
  <si>
    <t>bash: 行动点 = -1, 疲劳 = -3
knock_out: 行动点 = 基础值, 疲劳 = -5</t>
  </si>
  <si>
    <t>bash: 行动点 = 基础值, 疲劳 = 基础值
knock_out: 行动点 = 基础值, 疲劳 = 基础值</t>
  </si>
  <si>
    <t>bash: 行动点 = 基础值, 疲劳 = -1
knock_out: 行动点 = 基础值, 疲劳 = -2</t>
  </si>
  <si>
    <t>cudgel: 行动点 = 基础值, 疲劳 = 基础值
strike_down: 基础值
砸盾: 行动点 = +2, 疲劳 = +5</t>
  </si>
  <si>
    <t>impale: 行动点 = 基础值, 疲劳 = -1
repel: 行动点 = 基础值, 疲劳 = -2</t>
  </si>
  <si>
    <t>strike: 行动点 = 基础值, 疲劳 = -1
hook: 行动点 = 基础值, 疲劳 = -2</t>
  </si>
  <si>
    <t>rupture: 行动点 = 基础值, 疲劳 = 基础值
repel: 行动点 = -1, 疲劳 = -5</t>
  </si>
  <si>
    <t>impale: 行动点 = 基础值, 疲劳 = 基础值
repel: 行动点 = 基础值, 疲劳 = 基础值</t>
  </si>
  <si>
    <t>strike: 行动点 = 基础值, 疲劳 = 基础值
reap: 行动点 = 基础值, 疲劳 = 基础值</t>
  </si>
  <si>
    <t>strike: 行动点 = 基础值, 疲劳 = 基础值
hook: 行动点 = 基础值, 疲劳 = 基础值</t>
  </si>
  <si>
    <t>Impale: 行动点 = 基础值, 疲劳 = 基础值 (-20% armor eff)
sunder: 行动点 = 基础值, 疲劳 = +10 (+20 damage)
demolish armor: 行动点 = 基础值, 疲劳 = 基础值</t>
  </si>
  <si>
    <t>thrust: 行动点 = 基础值, 疲劳 = -2
矛wall: 行动点 = 基础值, 疲劳 = -6</t>
  </si>
  <si>
    <t>thrust: 行动点 = 基础值, 疲劳 = 基础值
ignite_firelance: 行动点 = 基础值, 疲劳 = 基础值</t>
  </si>
  <si>
    <t>thrust: 行动点 = 基础值, 疲劳 = -1
矛wall: 行动点 = 基础值, 疲劳 = -3</t>
  </si>
  <si>
    <t>thrust: 行动点 = 基础值, 疲劳 = 基础值
矛wall: 行动点 = 基础值, 疲劳 = 基础值</t>
  </si>
  <si>
    <t>prong: 基础值
矛wall: 行动点 = +2, 疲劳 = +5</t>
  </si>
  <si>
    <t>Thrust: 行动点 = +1, 疲劳 = +5
Cudgel: 行动点 = 基础值, 疲劳 = 基础值
Knock Out: 行动点 = +1, 疲劳 = 基础值</t>
  </si>
  <si>
    <t>slash: 行动点 = 基础值, 疲劳 = -2
riposte: 行动点 = 基础值, 疲劳 = -5</t>
  </si>
  <si>
    <t>slash: 行动点 = 基础值, 疲劳 = -2
gash: 行动点 = 基础值, 疲劳 = -4</t>
  </si>
  <si>
    <t>slash: 行动点 = 基础值, 疲劳 = -1
riposte: 行动点 = 基础值, 疲劳 = -3</t>
  </si>
  <si>
    <t>剑_thrust: 行动点 = 基础值, 疲劳 = 基础值
lunge: 行动点 = 基础值, 疲劳 = -5
riposte: 行动点 = 基础值, 疲劳 = -5</t>
  </si>
  <si>
    <t>slash: 行动点 = 基础值, 疲劳 = -1
gash: 行动点 = 基础值, 疲劳 = -2</t>
  </si>
  <si>
    <t>slash: 行动点 = 基础值, 疲劳 = 基础值
剑_thrust: 行动点 = 基础值, 疲劳 = 基础值
riposte: 行动点 = 基础值, 疲劳 = 基础值</t>
  </si>
  <si>
    <t>slash: 行动点 = 基础值, 疲劳 = 基础值
gash: 行动点 = 基础值, 疲劳 = 基础值</t>
  </si>
  <si>
    <t>slash: 行动点 = 基础值, 疲劳 = 基础值
riposte: 行动点 = 基础值, 疲劳 = 基础值</t>
  </si>
  <si>
    <t>slash: 行动点 = 基础值, 疲劳 = +3
split: 行动点 = -1, 疲劳 = -10
swing: 行动点 = -1, 疲劳 = -10</t>
  </si>
  <si>
    <t>slash: 行动点 = 基础值, 疲劳 = 基础值
overhead_strike: 行动点 = -1, 疲劳 = -1
riposte: 行动点 = 基础值, 疲劳 = 基础值</t>
  </si>
  <si>
    <t>剑_thrust: 行动点 = 基础值, 疲劳 = +2
lunge: 行动点 = 基础值, 疲劳 = 基础值
riposte: 行动点 = 基础值, 疲劳 = 基础值</t>
  </si>
  <si>
    <t>overhead_strike: 行动点 = 基础值, 疲劳 = 基础值
split: 行动点 = 基础值, 疲劳 = 基础值
swing: 行动点 = 基础值, 疲劳 = 基础值
砸盾: 行动点 = +2, 疲劳 = +5</t>
  </si>
  <si>
    <t>slash: 行动点 = -1, 疲劳 = -2
puncture: 行动点 = 基础值, 疲劳 = -5</t>
  </si>
  <si>
    <t>Stab: 行动点 = 基础值, 疲劳 = 基础值
Slash: 行动点 = 基础值, 疲劳 = -1</t>
  </si>
  <si>
    <t>prong: 行动点 = 基础值, 疲劳 = 基础值
overhead_strike: 行动点 = 基础值, 疲劳 = 基础值
矛wall: 行动点 = +2, 疲劳 = +5</t>
  </si>
  <si>
    <t>throw_balls: 行动点 = 基础值, 疲劳 = 基础值</t>
  </si>
  <si>
    <t>throw_斧: 行动点 = 基础值, 疲劳 = 基础值</t>
  </si>
  <si>
    <t>sling_stone_skill: 行动点 = 基础值, 疲劳 = -2</t>
  </si>
  <si>
    <t>throw_javelin: 行动点 = 基础值, 疲劳 = +1</t>
  </si>
  <si>
    <t>throw_javelin: 行动点 = 基础值, 疲劳 = 基础值</t>
  </si>
  <si>
    <t>throw_斧: 行动点 = 基础值, 疲劳 = +1</t>
  </si>
  <si>
    <t>sling_stone_skill: 行动点 = 基础值, 疲劳 = 基础值</t>
  </si>
  <si>
    <t>不再瞄准盾牌</t>
    <phoneticPr fontId="26" type="noConversion"/>
  </si>
  <si>
    <t>仅当头身护甲总重量超过20时生效。</t>
    <phoneticPr fontId="26" type="noConversion"/>
  </si>
  <si>
    <r>
      <t>提示栏会出现带有</t>
    </r>
    <r>
      <rPr>
        <u/>
        <sz val="12"/>
        <color theme="1"/>
        <rFont val="华文中宋"/>
        <family val="3"/>
        <charset val="134"/>
      </rPr>
      <t>下划线</t>
    </r>
    <r>
      <rPr>
        <sz val="12"/>
        <color theme="1"/>
        <rFont val="华文中宋"/>
        <family val="3"/>
        <charset val="134"/>
      </rPr>
      <t>的文本内容，你可以将鼠标悬停到其上方，查看关于其信息的提示栏。技能、物品、术语（concepts）等都会被囊括在内。</t>
    </r>
    <phoneticPr fontId="26" type="noConversion"/>
  </si>
  <si>
    <t>固有特技组(或概率)</t>
    <phoneticPr fontId="26" type="noConversion"/>
  </si>
  <si>
    <t>战术家</t>
    <phoneticPr fontId="26" type="noConversion"/>
  </si>
  <si>
    <t>坚韧</t>
    <phoneticPr fontId="26" type="noConversion"/>
  </si>
  <si>
    <r>
      <rPr>
        <b/>
        <sz val="11"/>
        <color theme="1"/>
        <rFont val="宋体"/>
        <family val="2"/>
        <charset val="134"/>
      </rPr>
      <t>不屈</t>
    </r>
    <r>
      <rPr>
        <b/>
        <sz val="11"/>
        <color theme="1"/>
        <rFont val="Calibri"/>
        <family val="2"/>
      </rPr>
      <t xml:space="preserve">
</t>
    </r>
    <r>
      <rPr>
        <sz val="11"/>
        <color theme="1"/>
        <rFont val="Calibri"/>
        <family val="2"/>
      </rPr>
      <t xml:space="preserve"> Unlocks the Indomitable skill which grants a 50% damage reduction and immunity to being stunned, knocked back or grabbed for one turn.
Passively gain a stacking 25% damage increase for every hit you receive that lasts until your next attack or the end of your turn.
Cost: 5 AP 25 Fat</t>
    </r>
    <phoneticPr fontId="26" type="noConversion"/>
  </si>
  <si>
    <r>
      <rPr>
        <b/>
        <sz val="11"/>
        <color theme="1"/>
        <rFont val="Calibri"/>
        <family val="2"/>
      </rPr>
      <t>Fearsome</t>
    </r>
    <r>
      <rPr>
        <sz val="11"/>
        <color theme="1"/>
        <rFont val="Calibri"/>
        <family val="2"/>
      </rPr>
      <t xml:space="preserve">
The damage threshold for triggering Morale Check with your attacks is reduced to 1.
These morale checks now have an additional penalty to Resolve of 20% of your Resolve.</t>
    </r>
    <phoneticPr fontId="26" type="noConversion"/>
  </si>
  <si>
    <r>
      <rPr>
        <b/>
        <sz val="11"/>
        <color theme="1"/>
        <rFont val="宋体"/>
        <family val="2"/>
        <charset val="134"/>
      </rPr>
      <t>狂暴</t>
    </r>
    <r>
      <rPr>
        <sz val="11"/>
        <color theme="1"/>
        <rFont val="Calibri"/>
        <family val="2"/>
      </rPr>
      <t xml:space="preserve">
Once per turn, upon killing an enemy, 4 Action Points are immediately regained. Characters can not regain more than their maximum Action Points and no more than 4 for a single Attack.</t>
    </r>
    <phoneticPr fontId="26" type="noConversion"/>
  </si>
  <si>
    <r>
      <rPr>
        <sz val="11"/>
        <color theme="1"/>
        <rFont val="宋体"/>
        <family val="3"/>
        <charset val="134"/>
      </rPr>
      <t>不竭之力</t>
    </r>
    <r>
      <rPr>
        <sz val="11"/>
        <color theme="1"/>
        <rFont val="MS Gothic"/>
        <family val="3"/>
        <charset val="128"/>
      </rPr>
      <t xml:space="preserve">
</t>
    </r>
    <r>
      <rPr>
        <sz val="11"/>
        <color theme="1"/>
        <rFont val="Calibri"/>
        <family val="2"/>
      </rPr>
      <t xml:space="preserve">As long as you have attacked at least once during your turn, if you end the turn with half or fewer of your Action Points remaining, gain a stack, up to a maximum of 5 stacks.
Each stack increases Action Points by +1 and </t>
    </r>
    <r>
      <rPr>
        <sz val="11"/>
        <color theme="1"/>
        <rFont val="MS Gothic"/>
        <family val="3"/>
        <charset val="128"/>
      </rPr>
      <t>主</t>
    </r>
    <r>
      <rPr>
        <sz val="11"/>
        <color theme="1"/>
        <rFont val="Microsoft JhengHei"/>
        <family val="2"/>
        <charset val="136"/>
      </rPr>
      <t>动</t>
    </r>
    <r>
      <rPr>
        <sz val="11"/>
        <color theme="1"/>
        <rFont val="Calibri"/>
        <family val="2"/>
      </rPr>
      <t xml:space="preserve"> by +10.
All stacks are lost if you end your turn with more than half of your Action Points remaining, use Wait or Recover, or get Stunned, Rooted or Staggered.</t>
    </r>
    <phoneticPr fontId="26" type="noConversion"/>
  </si>
  <si>
    <r>
      <rPr>
        <b/>
        <sz val="11"/>
        <color theme="1"/>
        <rFont val="宋体"/>
        <family val="2"/>
        <charset val="134"/>
      </rPr>
      <t>十八般武艺</t>
    </r>
    <r>
      <rPr>
        <b/>
        <sz val="11"/>
        <color theme="1"/>
        <rFont val="Calibri"/>
        <family val="2"/>
      </rPr>
      <t xml:space="preserve">
When you equip a weapon whose </t>
    </r>
    <r>
      <rPr>
        <b/>
        <sz val="11"/>
        <color theme="1"/>
        <rFont val="MS Gothic"/>
        <family val="3"/>
        <charset val="128"/>
      </rPr>
      <t>特技</t>
    </r>
    <r>
      <rPr>
        <b/>
        <sz val="11"/>
        <color theme="1"/>
        <rFont val="Microsoft JhengHei"/>
        <family val="2"/>
        <charset val="136"/>
      </rPr>
      <t>组</t>
    </r>
    <r>
      <rPr>
        <b/>
        <sz val="11"/>
        <color theme="1"/>
        <rFont val="Calibri"/>
        <family val="2"/>
      </rPr>
      <t xml:space="preserve"> you have access to, gain the first, second, or third perk in that weapon's </t>
    </r>
    <r>
      <rPr>
        <b/>
        <sz val="11"/>
        <color theme="1"/>
        <rFont val="MS Gothic"/>
        <family val="3"/>
        <charset val="128"/>
      </rPr>
      <t>特技</t>
    </r>
    <r>
      <rPr>
        <b/>
        <sz val="11"/>
        <color theme="1"/>
        <rFont val="Microsoft JhengHei"/>
        <family val="2"/>
        <charset val="136"/>
      </rPr>
      <t>组</t>
    </r>
    <r>
      <rPr>
        <b/>
        <sz val="11"/>
        <color theme="1"/>
        <rFont val="Calibri"/>
        <family val="2"/>
      </rPr>
      <t xml:space="preserve"> if you have the corresponding perk in another weapon's </t>
    </r>
    <r>
      <rPr>
        <b/>
        <sz val="11"/>
        <color theme="1"/>
        <rFont val="MS Gothic"/>
        <family val="3"/>
        <charset val="128"/>
      </rPr>
      <t>特技</t>
    </r>
    <r>
      <rPr>
        <b/>
        <sz val="11"/>
        <color theme="1"/>
        <rFont val="Microsoft JhengHei"/>
        <family val="2"/>
        <charset val="136"/>
      </rPr>
      <t>组</t>
    </r>
    <r>
      <rPr>
        <b/>
        <sz val="11"/>
        <color theme="1"/>
        <rFont val="Calibri"/>
        <family val="2"/>
      </rPr>
      <t xml:space="preserve">, regardless of its </t>
    </r>
    <r>
      <rPr>
        <b/>
        <sz val="11"/>
        <color theme="1"/>
        <rFont val="Microsoft JhengHei"/>
        <family val="2"/>
        <charset val="136"/>
      </rPr>
      <t>层级</t>
    </r>
    <r>
      <rPr>
        <b/>
        <sz val="11"/>
        <color theme="1"/>
        <rFont val="Calibri"/>
        <family val="2"/>
      </rPr>
      <t>.</t>
    </r>
    <phoneticPr fontId="26" type="noConversion"/>
  </si>
  <si>
    <r>
      <rPr>
        <b/>
        <sz val="11"/>
        <color theme="1"/>
        <rFont val="宋体"/>
        <family val="3"/>
        <charset val="134"/>
      </rPr>
      <t>杀戮</t>
    </r>
    <r>
      <rPr>
        <b/>
        <sz val="11"/>
        <color theme="1"/>
        <rFont val="Calibri, Arial"/>
      </rPr>
      <t xml:space="preserve">
</t>
    </r>
    <r>
      <rPr>
        <sz val="11"/>
        <color theme="1"/>
        <rFont val="Calibri, Arial"/>
      </rPr>
      <t>A kill increases all Damage by 25% for 2 turns. Does not stack, but another Kill will reset the timer.</t>
    </r>
    <phoneticPr fontId="26" type="noConversion"/>
  </si>
  <si>
    <r>
      <rPr>
        <b/>
        <sz val="11"/>
        <color theme="1"/>
        <rFont val="宋体"/>
        <family val="2"/>
        <charset val="134"/>
      </rPr>
      <t>闪电战</t>
    </r>
    <r>
      <rPr>
        <b/>
        <sz val="11"/>
        <color theme="1"/>
        <rFont val="Calibri"/>
        <family val="2"/>
      </rPr>
      <t xml:space="preserve">
You and allies of your faction within 4 tiles who have at least 10 </t>
    </r>
    <r>
      <rPr>
        <b/>
        <sz val="11"/>
        <color theme="1"/>
        <rFont val="MS Gothic"/>
        <family val="3"/>
        <charset val="128"/>
      </rPr>
      <t>疲</t>
    </r>
    <r>
      <rPr>
        <b/>
        <sz val="11"/>
        <color theme="1"/>
        <rFont val="Microsoft JhengHei"/>
        <family val="2"/>
        <charset val="136"/>
      </rPr>
      <t>劳</t>
    </r>
    <r>
      <rPr>
        <b/>
        <sz val="11"/>
        <color theme="1"/>
        <rFont val="Calibri"/>
        <family val="2"/>
      </rPr>
      <t xml:space="preserve"> remaining and are are not stunned, sleeping or fleeing gain the Adrenaline effect and build 10 </t>
    </r>
    <r>
      <rPr>
        <b/>
        <sz val="11"/>
        <color theme="1"/>
        <rFont val="MS Gothic"/>
        <family val="3"/>
        <charset val="128"/>
      </rPr>
      <t>疲</t>
    </r>
    <r>
      <rPr>
        <b/>
        <sz val="11"/>
        <color theme="1"/>
        <rFont val="Microsoft JhengHei"/>
        <family val="2"/>
        <charset val="136"/>
      </rPr>
      <t>劳</t>
    </r>
    <r>
      <rPr>
        <b/>
        <sz val="11"/>
        <color theme="1"/>
        <rFont val="Calibri"/>
        <family val="2"/>
      </rPr>
      <t>.
Usable once per day combat and cannot be used by more than one character.
Cost: 7AP 30 Fat</t>
    </r>
    <phoneticPr fontId="26" type="noConversion"/>
  </si>
  <si>
    <r>
      <rPr>
        <b/>
        <sz val="11"/>
        <color theme="1"/>
        <rFont val="宋体"/>
        <family val="2"/>
        <charset val="134"/>
      </rPr>
      <t>勇气化身</t>
    </r>
    <r>
      <rPr>
        <b/>
        <sz val="11"/>
        <color theme="1"/>
        <rFont val="Calibri"/>
        <family val="2"/>
      </rPr>
      <t xml:space="preserve"> (</t>
    </r>
    <r>
      <rPr>
        <b/>
        <sz val="11"/>
        <color theme="1"/>
        <rFont val="宋体"/>
        <family val="2"/>
        <charset val="134"/>
      </rPr>
      <t>需要装备旗帜</t>
    </r>
    <r>
      <rPr>
        <b/>
        <sz val="11"/>
        <color theme="1"/>
        <rFont val="Calibri"/>
        <family val="2"/>
      </rPr>
      <t>)</t>
    </r>
    <r>
      <rPr>
        <sz val="11"/>
        <color theme="1"/>
        <rFont val="Calibri"/>
        <family val="2"/>
      </rPr>
      <t xml:space="preserve">
Any member of your company who is adjacent to an enemy, or is adjacent to an ally who is adjacent to an enemy, gains +3 Action Points as long as they start their turn adjacent to you.</t>
    </r>
    <phoneticPr fontId="26" type="noConversion"/>
  </si>
  <si>
    <r>
      <rPr>
        <b/>
        <sz val="11"/>
        <color theme="1"/>
        <rFont val="宋体"/>
        <family val="2"/>
        <charset val="134"/>
      </rPr>
      <t>预判打击</t>
    </r>
    <r>
      <rPr>
        <b/>
        <sz val="11"/>
        <color theme="1"/>
        <rFont val="Calibri"/>
        <family val="2"/>
      </rPr>
      <t xml:space="preserve">
Deal 20% more damage against anyone who has not started their turn yet in the current round.
</t>
    </r>
    <r>
      <rPr>
        <b/>
        <sz val="11"/>
        <color theme="1"/>
        <rFont val="MS Gothic"/>
        <family val="3"/>
        <charset val="128"/>
      </rPr>
      <t>主</t>
    </r>
    <r>
      <rPr>
        <b/>
        <sz val="11"/>
        <color theme="1"/>
        <rFont val="Microsoft JhengHei"/>
        <family val="2"/>
        <charset val="136"/>
      </rPr>
      <t>动</t>
    </r>
    <r>
      <rPr>
        <b/>
        <sz val="11"/>
        <color theme="1"/>
        <rFont val="Calibri"/>
        <family val="2"/>
      </rPr>
      <t xml:space="preserve"> is reduced by 20%.</t>
    </r>
    <phoneticPr fontId="26" type="noConversion"/>
  </si>
  <si>
    <r>
      <rPr>
        <b/>
        <sz val="11"/>
        <color theme="1"/>
        <rFont val="宋体"/>
        <family val="2"/>
        <charset val="134"/>
      </rPr>
      <t>行云流水</t>
    </r>
    <r>
      <rPr>
        <b/>
        <sz val="11"/>
        <color theme="1"/>
        <rFont val="Calibri"/>
        <family val="2"/>
      </rPr>
      <t xml:space="preserve">
Once per turn, killing an opponent reduces current </t>
    </r>
    <r>
      <rPr>
        <b/>
        <sz val="11"/>
        <color theme="1"/>
        <rFont val="MS Gothic"/>
        <family val="3"/>
        <charset val="128"/>
      </rPr>
      <t>疲</t>
    </r>
    <r>
      <rPr>
        <b/>
        <sz val="11"/>
        <color theme="1"/>
        <rFont val="Microsoft JhengHei"/>
        <family val="2"/>
        <charset val="136"/>
      </rPr>
      <t>劳</t>
    </r>
    <r>
      <rPr>
        <b/>
        <sz val="11"/>
        <color theme="1"/>
        <rFont val="Calibri"/>
        <family val="2"/>
      </rPr>
      <t xml:space="preserve"> by 15% of Base Maximum </t>
    </r>
    <r>
      <rPr>
        <b/>
        <sz val="11"/>
        <color theme="1"/>
        <rFont val="MS Gothic"/>
        <family val="3"/>
        <charset val="128"/>
      </rPr>
      <t>疲</t>
    </r>
    <r>
      <rPr>
        <b/>
        <sz val="11"/>
        <color theme="1"/>
        <rFont val="Microsoft JhengHei"/>
        <family val="2"/>
        <charset val="136"/>
      </rPr>
      <t>劳</t>
    </r>
    <r>
      <rPr>
        <b/>
        <sz val="11"/>
        <color theme="1"/>
        <rFont val="Calibri"/>
        <family val="2"/>
      </rPr>
      <t xml:space="preserve"> (before penalties due to armor are applied).</t>
    </r>
    <phoneticPr fontId="26" type="noConversion"/>
  </si>
  <si>
    <t>Steel Brow
Hits to the head no longer cause critical damage to this character, which also lowers the risk of sustaining debilitating head injuries significantly.</t>
    <phoneticPr fontId="26" type="noConversion"/>
  </si>
  <si>
    <t>Resilient
Any negative status effect with a finite duration has its duration reduced to 1 turn. Status effects that have their effects grow weaker over several turns (e.g. Goblin Poison) are at their weakest state from the start.</t>
    <phoneticPr fontId="26" type="noConversion"/>
  </si>
  <si>
    <t>掠袭者, 50
奸猾，50</t>
    <phoneticPr fontId="26" type="noConversion"/>
  </si>
  <si>
    <t>掠袭者特技组
或奸猾特技组</t>
    <phoneticPr fontId="26" type="noConversion"/>
  </si>
  <si>
    <t>匕首, +
轻甲，+</t>
    <phoneticPr fontId="26" type="noConversion"/>
  </si>
  <si>
    <t>击剑手（原文没有加号）
移除 职业士兵
天赋,+</t>
    <phoneticPr fontId="26" type="noConversion"/>
  </si>
  <si>
    <t>免费的剑精通
士兵、剑术大师特技组和天赋特技</t>
    <phoneticPr fontId="26" type="noConversion"/>
  </si>
  <si>
    <t>学生, +</t>
    <phoneticPr fontId="26" type="noConversion"/>
  </si>
  <si>
    <t>+ 10%经验获取
学生特技</t>
    <phoneticPr fontId="26" type="noConversion"/>
  </si>
  <si>
    <t>Brigand Scoundrel,</t>
  </si>
  <si>
    <t>Brigand Robber,</t>
  </si>
  <si>
    <t>Brigand Hunter,</t>
  </si>
  <si>
    <t>Brigand Vandal,</t>
  </si>
  <si>
    <t>Brigand Pillager,</t>
  </si>
  <si>
    <t>Brigand Outlaw,</t>
  </si>
  <si>
    <t>Brigand Bandit,</t>
  </si>
  <si>
    <t>Brigand Highwayman,</t>
  </si>
  <si>
    <t>Brigand Marauder,</t>
  </si>
  <si>
    <t>Brigand Killer,</t>
  </si>
  <si>
    <t>Brigand Sharpshooter,</t>
  </si>
  <si>
    <t>Robber Baron,</t>
  </si>
  <si>
    <t>Ancient Miles,</t>
  </si>
  <si>
    <t>Ancient Palatinus,</t>
  </si>
  <si>
    <t>Ancient Praetorian,</t>
  </si>
  <si>
    <t>Ancient Decanus,</t>
  </si>
  <si>
    <t>Ancient Centurion,</t>
  </si>
  <si>
    <t>Ancient Legatus,</t>
  </si>
  <si>
    <t>Necrosavant Lord,</t>
  </si>
  <si>
    <t>Heavy Footman,</t>
  </si>
  <si>
    <t>Halberdier,</t>
  </si>
  <si>
    <t>Arbalester,</t>
  </si>
  <si>
    <t>Herald,</t>
  </si>
  <si>
    <t>Marshal,</t>
  </si>
  <si>
    <t>Man at Arms,</t>
  </si>
  <si>
    <t>Fencer,</t>
  </si>
  <si>
    <t>Anointed Knight,</t>
  </si>
  <si>
    <t>Squire,</t>
  </si>
  <si>
    <t>Herald\'s Bodyguard</t>
  </si>
  <si>
    <r>
      <t>强盗恶棍</t>
    </r>
    <r>
      <rPr>
        <sz val="10"/>
        <color rgb="FF000000"/>
        <rFont val="Arial"/>
        <scheme val="minor"/>
      </rPr>
      <t>,</t>
    </r>
  </si>
  <si>
    <r>
      <t>强盗劫匪</t>
    </r>
    <r>
      <rPr>
        <sz val="10"/>
        <color rgb="FF000000"/>
        <rFont val="Arial"/>
        <scheme val="minor"/>
      </rPr>
      <t>,</t>
    </r>
  </si>
  <si>
    <r>
      <t>强盗猎人</t>
    </r>
    <r>
      <rPr>
        <sz val="10"/>
        <color rgb="FF000000"/>
        <rFont val="Arial"/>
        <scheme val="minor"/>
      </rPr>
      <t>,</t>
    </r>
  </si>
  <si>
    <r>
      <t>强盗破坏者</t>
    </r>
    <r>
      <rPr>
        <sz val="10"/>
        <color rgb="FF000000"/>
        <rFont val="Arial"/>
        <scheme val="minor"/>
      </rPr>
      <t>,</t>
    </r>
  </si>
  <si>
    <r>
      <t>强盗掠夺者</t>
    </r>
    <r>
      <rPr>
        <sz val="10"/>
        <color rgb="FF000000"/>
        <rFont val="Arial"/>
        <scheme val="minor"/>
      </rPr>
      <t>,</t>
    </r>
  </si>
  <si>
    <r>
      <t>强盗亡命徒</t>
    </r>
    <r>
      <rPr>
        <sz val="10"/>
        <color rgb="FF000000"/>
        <rFont val="Arial"/>
        <scheme val="minor"/>
      </rPr>
      <t>,</t>
    </r>
  </si>
  <si>
    <r>
      <t>强盗土匪</t>
    </r>
    <r>
      <rPr>
        <sz val="10"/>
        <color rgb="FF000000"/>
        <rFont val="Arial"/>
        <scheme val="minor"/>
      </rPr>
      <t>,</t>
    </r>
  </si>
  <si>
    <r>
      <t>强盗拦路徒</t>
    </r>
    <r>
      <rPr>
        <sz val="10"/>
        <color rgb="FF000000"/>
        <rFont val="Arial"/>
        <scheme val="minor"/>
      </rPr>
      <t>,</t>
    </r>
  </si>
  <si>
    <r>
      <t>强盗劫掠者</t>
    </r>
    <r>
      <rPr>
        <sz val="10"/>
        <color rgb="FF000000"/>
        <rFont val="Arial"/>
        <scheme val="minor"/>
      </rPr>
      <t>,</t>
    </r>
  </si>
  <si>
    <r>
      <t>强盗杀手</t>
    </r>
    <r>
      <rPr>
        <sz val="10"/>
        <color rgb="FF000000"/>
        <rFont val="Arial"/>
        <scheme val="minor"/>
      </rPr>
      <t>,</t>
    </r>
  </si>
  <si>
    <r>
      <t>强盗神射手</t>
    </r>
    <r>
      <rPr>
        <sz val="10"/>
        <color rgb="FF000000"/>
        <rFont val="Arial"/>
        <scheme val="minor"/>
      </rPr>
      <t>,</t>
    </r>
  </si>
  <si>
    <r>
      <t>强盗男爵</t>
    </r>
    <r>
      <rPr>
        <sz val="10"/>
        <color rgb="FF000000"/>
        <rFont val="Arial"/>
        <scheme val="minor"/>
      </rPr>
      <t>,</t>
    </r>
  </si>
  <si>
    <r>
      <t>古代役兵</t>
    </r>
    <r>
      <rPr>
        <sz val="10"/>
        <color rgb="FF000000"/>
        <rFont val="Arial"/>
        <scheme val="minor"/>
      </rPr>
      <t>,</t>
    </r>
  </si>
  <si>
    <r>
      <t>古代宫廷卫兵</t>
    </r>
    <r>
      <rPr>
        <sz val="10"/>
        <color rgb="FF000000"/>
        <rFont val="Arial"/>
        <scheme val="minor"/>
      </rPr>
      <t>,</t>
    </r>
  </si>
  <si>
    <r>
      <t>古代禁卫军</t>
    </r>
    <r>
      <rPr>
        <sz val="10"/>
        <color rgb="FF000000"/>
        <rFont val="Arial"/>
        <scheme val="minor"/>
      </rPr>
      <t>,</t>
    </r>
  </si>
  <si>
    <r>
      <t>古代十夫长</t>
    </r>
    <r>
      <rPr>
        <sz val="10"/>
        <color rgb="FF000000"/>
        <rFont val="Arial"/>
        <scheme val="minor"/>
      </rPr>
      <t>,</t>
    </r>
  </si>
  <si>
    <r>
      <t>古代百夫长</t>
    </r>
    <r>
      <rPr>
        <sz val="10"/>
        <color rgb="FF000000"/>
        <rFont val="Arial"/>
        <scheme val="minor"/>
      </rPr>
      <t>,</t>
    </r>
  </si>
  <si>
    <r>
      <t>古代军团长</t>
    </r>
    <r>
      <rPr>
        <sz val="10"/>
        <color rgb="FF000000"/>
        <rFont val="Arial"/>
        <scheme val="minor"/>
      </rPr>
      <t>,</t>
    </r>
  </si>
  <si>
    <r>
      <t>死灵领主</t>
    </r>
    <r>
      <rPr>
        <sz val="10"/>
        <color rgb="FF000000"/>
        <rFont val="Arial"/>
        <scheme val="minor"/>
      </rPr>
      <t>,</t>
    </r>
  </si>
  <si>
    <r>
      <t>重步兵</t>
    </r>
    <r>
      <rPr>
        <sz val="10"/>
        <color rgb="FF000000"/>
        <rFont val="Arial"/>
        <scheme val="minor"/>
      </rPr>
      <t>,</t>
    </r>
  </si>
  <si>
    <r>
      <t>戟兵</t>
    </r>
    <r>
      <rPr>
        <sz val="10"/>
        <color rgb="FF000000"/>
        <rFont val="Arial"/>
        <scheme val="minor"/>
      </rPr>
      <t>,</t>
    </r>
  </si>
  <si>
    <r>
      <t>弩手</t>
    </r>
    <r>
      <rPr>
        <sz val="10"/>
        <color rgb="FF000000"/>
        <rFont val="Arial"/>
        <scheme val="minor"/>
      </rPr>
      <t>,</t>
    </r>
  </si>
  <si>
    <r>
      <t>传令官</t>
    </r>
    <r>
      <rPr>
        <sz val="10"/>
        <color rgb="FF000000"/>
        <rFont val="Arial"/>
        <scheme val="minor"/>
      </rPr>
      <t>,</t>
    </r>
  </si>
  <si>
    <r>
      <t>元帅</t>
    </r>
    <r>
      <rPr>
        <sz val="10"/>
        <color rgb="FF000000"/>
        <rFont val="Arial"/>
        <scheme val="minor"/>
      </rPr>
      <t>,</t>
    </r>
  </si>
  <si>
    <r>
      <t>重装兵</t>
    </r>
    <r>
      <rPr>
        <sz val="10"/>
        <color rgb="FF000000"/>
        <rFont val="Arial"/>
        <scheme val="minor"/>
      </rPr>
      <t>,</t>
    </r>
  </si>
  <si>
    <r>
      <t>击剑手</t>
    </r>
    <r>
      <rPr>
        <sz val="10"/>
        <color rgb="FF000000"/>
        <rFont val="Arial"/>
        <scheme val="minor"/>
      </rPr>
      <t>,</t>
    </r>
  </si>
  <si>
    <r>
      <t>受膏骑士</t>
    </r>
    <r>
      <rPr>
        <sz val="10"/>
        <color rgb="FF000000"/>
        <rFont val="Arial"/>
        <scheme val="minor"/>
      </rPr>
      <t>,</t>
    </r>
  </si>
  <si>
    <r>
      <t>扈从</t>
    </r>
    <r>
      <rPr>
        <sz val="10"/>
        <color rgb="FF000000"/>
        <rFont val="Arial"/>
        <scheme val="minor"/>
      </rPr>
      <t>,</t>
    </r>
  </si>
  <si>
    <t>传令官侍卫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</si>
</sst>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0"/>
      <color rgb="FF000000"/>
      <name val="Arial"/>
      <scheme val="minor"/>
    </font>
    <font>
      <sz val="11"/>
      <color theme="1"/>
      <name val="Calibri"/>
      <family val="2"/>
    </font>
    <font>
      <sz val="10"/>
      <color theme="1"/>
      <name val="Calibri"/>
      <family val="2"/>
    </font>
    <font>
      <sz val="10"/>
      <color theme="1"/>
      <name val="Arial"/>
      <family val="2"/>
      <scheme val="minor"/>
    </font>
    <font>
      <b/>
      <sz val="11"/>
      <color rgb="FFF3F3F3"/>
      <name val="Calibri"/>
      <family val="2"/>
    </font>
    <font>
      <sz val="10"/>
      <name val="Arial"/>
      <family val="2"/>
    </font>
    <font>
      <b/>
      <sz val="11"/>
      <color theme="1"/>
      <name val="Calibri"/>
      <family val="2"/>
    </font>
    <font>
      <sz val="10"/>
      <color theme="1"/>
      <name val="Arial"/>
      <family val="2"/>
    </font>
    <font>
      <sz val="11"/>
      <color rgb="FF000000"/>
      <name val="Calibri"/>
      <family val="2"/>
    </font>
    <font>
      <b/>
      <strike/>
      <sz val="11"/>
      <color theme="1"/>
      <name val="Calibri"/>
      <family val="2"/>
    </font>
    <font>
      <i/>
      <sz val="11"/>
      <color theme="1"/>
      <name val="Calibri"/>
      <family val="2"/>
    </font>
    <font>
      <b/>
      <sz val="11"/>
      <color theme="0"/>
      <name val="Calibri"/>
      <family val="2"/>
    </font>
    <font>
      <b/>
      <sz val="11"/>
      <color rgb="FFFFFFFF"/>
      <name val="Calibri"/>
      <family val="2"/>
    </font>
    <font>
      <b/>
      <sz val="11"/>
      <color rgb="FF000000"/>
      <name val="Calibri"/>
      <family val="2"/>
    </font>
    <font>
      <strike/>
      <sz val="11"/>
      <color rgb="FF000000"/>
      <name val="Calibri"/>
      <family val="2"/>
    </font>
    <font>
      <b/>
      <sz val="14"/>
      <color theme="1"/>
      <name val="Calibri"/>
      <family val="2"/>
    </font>
    <font>
      <sz val="11"/>
      <color rgb="FF0000FF"/>
      <name val="Calibri"/>
      <family val="2"/>
    </font>
    <font>
      <b/>
      <sz val="55"/>
      <color theme="1"/>
      <name val="Calibri"/>
      <family val="2"/>
    </font>
    <font>
      <b/>
      <sz val="18"/>
      <color theme="1"/>
      <name val="Calibri"/>
      <family val="2"/>
    </font>
    <font>
      <strike/>
      <sz val="11"/>
      <color rgb="FF0000FF"/>
      <name val="Calibri"/>
      <family val="2"/>
    </font>
    <font>
      <b/>
      <sz val="11"/>
      <color theme="1"/>
      <name val="Calibri, Arial"/>
    </font>
    <font>
      <sz val="11"/>
      <color theme="1"/>
      <name val="Calibri, Arial"/>
    </font>
    <font>
      <strike/>
      <sz val="11"/>
      <color theme="1"/>
      <name val="Calibri"/>
      <family val="2"/>
    </font>
    <font>
      <sz val="11"/>
      <color rgb="FF0000FF"/>
      <name val="Calibri, Arial"/>
    </font>
    <font>
      <strike/>
      <sz val="11"/>
      <color theme="1"/>
      <name val="Calibri, Arial"/>
    </font>
    <font>
      <b/>
      <sz val="11"/>
      <color rgb="FF000000"/>
      <name val="宋体"/>
      <family val="3"/>
      <charset val="134"/>
    </font>
    <font>
      <sz val="9"/>
      <name val="Arial"/>
      <family val="3"/>
      <charset val="134"/>
      <scheme val="minor"/>
    </font>
    <font>
      <b/>
      <sz val="11"/>
      <color rgb="FF000000"/>
      <name val="Calibri"/>
      <family val="3"/>
      <charset val="134"/>
    </font>
    <font>
      <b/>
      <sz val="11"/>
      <color theme="1"/>
      <name val="宋体"/>
      <family val="3"/>
      <charset val="134"/>
    </font>
    <font>
      <b/>
      <sz val="11"/>
      <color theme="1"/>
      <name val="宋体"/>
      <family val="2"/>
      <charset val="134"/>
    </font>
    <font>
      <sz val="11"/>
      <color theme="1"/>
      <name val="Calibri"/>
      <family val="3"/>
      <charset val="134"/>
    </font>
    <font>
      <sz val="11"/>
      <color theme="1"/>
      <name val="宋体"/>
      <family val="3"/>
      <charset val="134"/>
    </font>
    <font>
      <sz val="11"/>
      <color rgb="FF000000"/>
      <name val="宋体"/>
      <family val="3"/>
      <charset val="134"/>
    </font>
    <font>
      <sz val="11"/>
      <color theme="1"/>
      <name val="Calibri"/>
      <family val="2"/>
      <charset val="134"/>
    </font>
    <font>
      <sz val="11"/>
      <color theme="1"/>
      <name val="宋体"/>
      <family val="2"/>
      <charset val="134"/>
    </font>
    <font>
      <sz val="11"/>
      <color rgb="FF000000"/>
      <name val="Calibri"/>
      <family val="3"/>
      <charset val="134"/>
    </font>
    <font>
      <b/>
      <sz val="11"/>
      <color theme="1"/>
      <name val="MS Gothic"/>
      <family val="3"/>
      <charset val="128"/>
    </font>
    <font>
      <b/>
      <sz val="11"/>
      <color theme="1"/>
      <name val="Microsoft JhengHei"/>
      <family val="2"/>
      <charset val="136"/>
    </font>
    <font>
      <b/>
      <sz val="11"/>
      <color theme="1"/>
      <name val="Calibri"/>
      <family val="2"/>
      <charset val="134"/>
    </font>
    <font>
      <sz val="10"/>
      <color theme="1"/>
      <name val="宋体"/>
      <family val="2"/>
      <charset val="134"/>
    </font>
    <font>
      <sz val="11"/>
      <color theme="1"/>
      <name val="MS Gothic"/>
      <family val="3"/>
      <charset val="128"/>
    </font>
    <font>
      <b/>
      <sz val="11"/>
      <color rgb="FFF3F3F3"/>
      <name val="MS Gothic"/>
      <family val="3"/>
      <charset val="128"/>
    </font>
    <font>
      <b/>
      <sz val="11"/>
      <color rgb="FFF3F3F3"/>
      <name val="Microsoft JhengHei"/>
      <family val="2"/>
      <charset val="136"/>
    </font>
    <font>
      <b/>
      <sz val="11"/>
      <color rgb="FFF3F3F3"/>
      <name val="宋体"/>
      <family val="2"/>
      <charset val="134"/>
    </font>
    <font>
      <b/>
      <sz val="11"/>
      <color rgb="FFF3F3F3"/>
      <name val="Calibri"/>
      <family val="3"/>
      <charset val="128"/>
    </font>
    <font>
      <sz val="11"/>
      <color theme="1"/>
      <name val="Microsoft JhengHei"/>
      <family val="2"/>
      <charset val="136"/>
    </font>
    <font>
      <sz val="10"/>
      <color theme="1"/>
      <name val="华文中宋"/>
      <family val="3"/>
      <charset val="134"/>
    </font>
    <font>
      <sz val="10"/>
      <color rgb="FF000000"/>
      <name val="华文中宋"/>
      <family val="3"/>
      <charset val="134"/>
    </font>
    <font>
      <sz val="11"/>
      <color theme="1"/>
      <name val="华文中宋"/>
      <family val="3"/>
      <charset val="134"/>
    </font>
    <font>
      <b/>
      <sz val="12"/>
      <color theme="1"/>
      <name val="华文中宋"/>
      <family val="3"/>
      <charset val="134"/>
    </font>
    <font>
      <sz val="12"/>
      <color theme="1"/>
      <name val="华文中宋"/>
      <family val="3"/>
      <charset val="134"/>
    </font>
    <font>
      <sz val="12"/>
      <color rgb="FF000000"/>
      <name val="华文中宋"/>
      <family val="3"/>
      <charset val="134"/>
    </font>
    <font>
      <u/>
      <sz val="12"/>
      <color theme="1"/>
      <name val="华文中宋"/>
      <family val="3"/>
      <charset val="134"/>
    </font>
    <font>
      <b/>
      <sz val="11"/>
      <color rgb="FF000000"/>
      <name val="华文中宋"/>
      <family val="3"/>
      <charset val="134"/>
    </font>
    <font>
      <b/>
      <sz val="11"/>
      <color theme="1"/>
      <name val="华文中宋"/>
      <family val="3"/>
      <charset val="134"/>
    </font>
    <font>
      <sz val="11"/>
      <color rgb="FF000000"/>
      <name val="华文中宋"/>
      <family val="3"/>
      <charset val="134"/>
    </font>
    <font>
      <sz val="10"/>
      <name val="华文中宋"/>
      <family val="3"/>
      <charset val="134"/>
    </font>
    <font>
      <strike/>
      <sz val="11"/>
      <color rgb="FF000000"/>
      <name val="华文中宋"/>
      <family val="3"/>
      <charset val="134"/>
    </font>
    <font>
      <b/>
      <sz val="11"/>
      <color theme="1"/>
      <name val="Calibri"/>
      <family val="3"/>
      <charset val="134"/>
    </font>
    <font>
      <sz val="10"/>
      <color rgb="FF000000"/>
      <name val="Arial"/>
      <family val="2"/>
      <scheme val="minor"/>
    </font>
    <font>
      <sz val="10"/>
      <color rgb="FF000000"/>
      <name val="Arial"/>
      <family val="3"/>
      <charset val="134"/>
      <scheme val="minor"/>
    </font>
  </fonts>
  <fills count="23">
    <fill>
      <patternFill patternType="none"/>
    </fill>
    <fill>
      <patternFill patternType="gray125"/>
    </fill>
    <fill>
      <patternFill patternType="solid">
        <fgColor rgb="FFA4C2F4"/>
        <bgColor rgb="FFA4C2F4"/>
      </patternFill>
    </fill>
    <fill>
      <patternFill patternType="solid">
        <fgColor rgb="FFB0BBFA"/>
        <bgColor rgb="FFB0BBFA"/>
      </patternFill>
    </fill>
    <fill>
      <patternFill patternType="solid">
        <fgColor rgb="FFFFFFFF"/>
        <bgColor rgb="FFFFFFFF"/>
      </patternFill>
    </fill>
    <fill>
      <patternFill patternType="solid">
        <fgColor rgb="FF9FC5E8"/>
        <bgColor rgb="FF9FC5E8"/>
      </patternFill>
    </fill>
    <fill>
      <patternFill patternType="solid">
        <fgColor rgb="FF4D4343"/>
        <bgColor rgb="FF4D4343"/>
      </patternFill>
    </fill>
    <fill>
      <patternFill patternType="solid">
        <fgColor rgb="FFB4C6E7"/>
        <bgColor rgb="FFB4C6E7"/>
      </patternFill>
    </fill>
    <fill>
      <patternFill patternType="solid">
        <fgColor rgb="FF504343"/>
        <bgColor rgb="FF504343"/>
      </patternFill>
    </fill>
    <fill>
      <patternFill patternType="solid">
        <fgColor rgb="FFB7C5E6"/>
        <bgColor rgb="FFB7C5E6"/>
      </patternFill>
    </fill>
    <fill>
      <patternFill patternType="solid">
        <fgColor rgb="FFC9DAF8"/>
        <bgColor rgb="FFC9DAF8"/>
      </patternFill>
    </fill>
    <fill>
      <patternFill patternType="solid">
        <fgColor rgb="FFF9CB9C"/>
        <bgColor rgb="FFF9CB9C"/>
      </patternFill>
    </fill>
    <fill>
      <patternFill patternType="solid">
        <fgColor rgb="FF30C458"/>
        <bgColor rgb="FF30C458"/>
      </patternFill>
    </fill>
    <fill>
      <patternFill patternType="solid">
        <fgColor rgb="FFD9F0E4"/>
        <bgColor rgb="FFD9F0E4"/>
      </patternFill>
    </fill>
    <fill>
      <patternFill patternType="solid">
        <fgColor rgb="FFF3FAF7"/>
        <bgColor rgb="FFF3FAF7"/>
      </patternFill>
    </fill>
    <fill>
      <patternFill patternType="solid">
        <fgColor rgb="FFFAE5E4"/>
        <bgColor rgb="FFFAE5E4"/>
      </patternFill>
    </fill>
    <fill>
      <patternFill patternType="solid">
        <fgColor rgb="FFF4FBF8"/>
        <bgColor rgb="FFF4FBF8"/>
      </patternFill>
    </fill>
    <fill>
      <patternFill patternType="solid">
        <fgColor rgb="FFFAFDFC"/>
        <bgColor rgb="FFFAFDFC"/>
      </patternFill>
    </fill>
    <fill>
      <patternFill patternType="solid">
        <fgColor rgb="FFBFE5D3"/>
        <bgColor rgb="FFBFE5D3"/>
      </patternFill>
    </fill>
    <fill>
      <patternFill patternType="solid">
        <fgColor rgb="FFFBEAE9"/>
        <bgColor rgb="FFFBEAE9"/>
      </patternFill>
    </fill>
    <fill>
      <patternFill patternType="solid">
        <fgColor rgb="FF00FFFF"/>
        <bgColor rgb="FF00FFFF"/>
      </patternFill>
    </fill>
    <fill>
      <patternFill patternType="solid">
        <fgColor rgb="FFFFF2CC"/>
        <bgColor rgb="FFFFF2CC"/>
      </patternFill>
    </fill>
    <fill>
      <patternFill patternType="solid">
        <fgColor rgb="FFFFFF00"/>
        <bgColor rgb="FFFFFFFF"/>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s>
  <cellStyleXfs count="1">
    <xf numFmtId="0" fontId="0" fillId="0" borderId="0"/>
  </cellStyleXfs>
  <cellXfs count="299">
    <xf numFmtId="0" fontId="0" fillId="0" borderId="0" xfId="0"/>
    <xf numFmtId="0" fontId="6" fillId="7" borderId="4" xfId="0" applyFont="1" applyFill="1" applyBorder="1" applyAlignment="1">
      <alignment horizontal="center" wrapText="1"/>
    </xf>
    <xf numFmtId="0" fontId="6" fillId="7" borderId="3" xfId="0" applyFont="1" applyFill="1" applyBorder="1" applyAlignment="1">
      <alignment horizontal="center" wrapText="1"/>
    </xf>
    <xf numFmtId="0" fontId="6" fillId="7" borderId="5"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xf>
    <xf numFmtId="0" fontId="1" fillId="4" borderId="6" xfId="0" applyFont="1" applyFill="1" applyBorder="1" applyAlignment="1">
      <alignment horizontal="center" vertical="center"/>
    </xf>
    <xf numFmtId="0" fontId="6" fillId="0" borderId="0" xfId="0" applyFont="1" applyAlignment="1">
      <alignment horizontal="center" vertical="center" wrapText="1"/>
    </xf>
    <xf numFmtId="0" fontId="6" fillId="7" borderId="6"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7" fillId="4" borderId="3" xfId="0" applyFont="1" applyFill="1" applyBorder="1" applyAlignment="1">
      <alignment vertical="center"/>
    </xf>
    <xf numFmtId="0" fontId="6"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7" fillId="4" borderId="6" xfId="0" applyFont="1" applyFill="1" applyBorder="1" applyAlignment="1">
      <alignment vertical="center"/>
    </xf>
    <xf numFmtId="0" fontId="8" fillId="4" borderId="6"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7" fillId="4" borderId="3" xfId="0" applyFont="1" applyFill="1" applyBorder="1"/>
    <xf numFmtId="0" fontId="1" fillId="4" borderId="4" xfId="0" applyFont="1" applyFill="1" applyBorder="1" applyAlignment="1">
      <alignment horizontal="center" vertical="center" wrapText="1"/>
    </xf>
    <xf numFmtId="0" fontId="1" fillId="4" borderId="4" xfId="0" applyFont="1" applyFill="1" applyBorder="1" applyAlignment="1">
      <alignment horizontal="center"/>
    </xf>
    <xf numFmtId="0" fontId="1" fillId="4" borderId="3" xfId="0" applyFont="1" applyFill="1" applyBorder="1" applyAlignment="1">
      <alignment horizont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wrapText="1"/>
    </xf>
    <xf numFmtId="0" fontId="6" fillId="4" borderId="4" xfId="0" applyFont="1" applyFill="1" applyBorder="1" applyAlignment="1">
      <alignment horizontal="center" wrapText="1"/>
    </xf>
    <xf numFmtId="0" fontId="1" fillId="4" borderId="3" xfId="0" applyFont="1" applyFill="1" applyBorder="1" applyAlignment="1">
      <alignment vertical="center"/>
    </xf>
    <xf numFmtId="0" fontId="1" fillId="0" borderId="0" xfId="0" applyFont="1" applyAlignment="1">
      <alignment horizontal="center" vertical="center"/>
    </xf>
    <xf numFmtId="0" fontId="9" fillId="4" borderId="3"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 fillId="4" borderId="4" xfId="0" applyFont="1" applyFill="1" applyBorder="1" applyAlignment="1">
      <alignment vertical="center"/>
    </xf>
    <xf numFmtId="0" fontId="6" fillId="4" borderId="3" xfId="0" applyFont="1" applyFill="1" applyBorder="1" applyAlignment="1">
      <alignment vertical="center" wrapText="1"/>
    </xf>
    <xf numFmtId="0" fontId="1" fillId="4" borderId="3" xfId="0" applyFont="1" applyFill="1" applyBorder="1" applyAlignment="1">
      <alignment horizontal="center" vertical="center"/>
    </xf>
    <xf numFmtId="0" fontId="11" fillId="4" borderId="8" xfId="0" applyFont="1" applyFill="1" applyBorder="1" applyAlignment="1">
      <alignment horizontal="center" vertical="center" wrapText="1"/>
    </xf>
    <xf numFmtId="0" fontId="11" fillId="4" borderId="0" xfId="0" applyFont="1" applyFill="1" applyAlignment="1">
      <alignment horizontal="center" vertical="center" wrapText="1"/>
    </xf>
    <xf numFmtId="0" fontId="6" fillId="7" borderId="3" xfId="0" applyFont="1" applyFill="1" applyBorder="1" applyAlignment="1">
      <alignment horizontal="center" vertical="center" wrapText="1"/>
    </xf>
    <xf numFmtId="0" fontId="6" fillId="4" borderId="0" xfId="0" applyFont="1" applyFill="1" applyAlignment="1">
      <alignment horizontal="center" wrapText="1"/>
    </xf>
    <xf numFmtId="0" fontId="1" fillId="4" borderId="5" xfId="0" applyFont="1" applyFill="1" applyBorder="1" applyAlignment="1">
      <alignment vertical="center" wrapText="1"/>
    </xf>
    <xf numFmtId="0" fontId="13" fillId="4" borderId="6"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1" fillId="4" borderId="4" xfId="0" applyFont="1" applyFill="1" applyBorder="1" applyAlignment="1">
      <alignment vertical="center" wrapText="1"/>
    </xf>
    <xf numFmtId="0" fontId="1" fillId="4"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1" fillId="4" borderId="6" xfId="0" applyFont="1" applyFill="1" applyBorder="1" applyAlignment="1">
      <alignment vertical="center" wrapText="1"/>
    </xf>
    <xf numFmtId="0" fontId="1" fillId="4" borderId="2"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4" borderId="5" xfId="0" applyFont="1" applyFill="1" applyBorder="1" applyAlignment="1">
      <alignment wrapText="1"/>
    </xf>
    <xf numFmtId="0" fontId="1" fillId="4" borderId="1" xfId="0" applyFont="1" applyFill="1" applyBorder="1" applyAlignment="1">
      <alignment horizontal="left" vertical="center" wrapText="1"/>
    </xf>
    <xf numFmtId="0" fontId="1" fillId="4" borderId="1" xfId="0" applyFont="1" applyFill="1" applyBorder="1" applyAlignment="1">
      <alignment vertical="center" wrapText="1"/>
    </xf>
    <xf numFmtId="0" fontId="8" fillId="4" borderId="1" xfId="0" applyFont="1" applyFill="1" applyBorder="1" applyAlignment="1">
      <alignment horizontal="left" vertical="center" wrapText="1"/>
    </xf>
    <xf numFmtId="0" fontId="1" fillId="4" borderId="2" xfId="0" applyFont="1" applyFill="1" applyBorder="1" applyAlignment="1">
      <alignment vertical="center" wrapText="1"/>
    </xf>
    <xf numFmtId="0" fontId="15" fillId="7" borderId="4" xfId="0" applyFont="1" applyFill="1" applyBorder="1" applyAlignment="1">
      <alignment vertical="center" wrapText="1"/>
    </xf>
    <xf numFmtId="0" fontId="1" fillId="4" borderId="1" xfId="0" applyFont="1" applyFill="1" applyBorder="1" applyAlignment="1">
      <alignment wrapText="1"/>
    </xf>
    <xf numFmtId="0" fontId="1" fillId="4" borderId="3" xfId="0" applyFont="1" applyFill="1" applyBorder="1" applyAlignment="1">
      <alignment wrapText="1"/>
    </xf>
    <xf numFmtId="0" fontId="6" fillId="4" borderId="3"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2" borderId="2"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1" fillId="12" borderId="4" xfId="0" applyFont="1" applyFill="1" applyBorder="1" applyAlignment="1">
      <alignment vertical="center" wrapText="1"/>
    </xf>
    <xf numFmtId="0" fontId="6" fillId="7" borderId="5" xfId="0" applyFont="1" applyFill="1" applyBorder="1" applyAlignment="1">
      <alignment vertical="center" wrapText="1"/>
    </xf>
    <xf numFmtId="0" fontId="2" fillId="4" borderId="4" xfId="0" applyFont="1" applyFill="1" applyBorder="1" applyAlignment="1">
      <alignment vertical="center"/>
    </xf>
    <xf numFmtId="0" fontId="2" fillId="4" borderId="3" xfId="0" applyFont="1" applyFill="1" applyBorder="1" applyAlignment="1">
      <alignment vertical="center"/>
    </xf>
    <xf numFmtId="0" fontId="1" fillId="4" borderId="3" xfId="0" applyFont="1" applyFill="1" applyBorder="1" applyAlignment="1">
      <alignment vertical="center" wrapText="1"/>
    </xf>
    <xf numFmtId="0" fontId="2" fillId="4" borderId="5" xfId="0" applyFont="1" applyFill="1" applyBorder="1" applyAlignment="1">
      <alignment vertical="center"/>
    </xf>
    <xf numFmtId="0" fontId="2" fillId="4" borderId="6" xfId="0" applyFont="1" applyFill="1" applyBorder="1" applyAlignment="1">
      <alignment vertical="center"/>
    </xf>
    <xf numFmtId="0" fontId="6" fillId="7" borderId="4" xfId="0" applyFont="1" applyFill="1" applyBorder="1" applyAlignment="1">
      <alignment vertical="center" wrapText="1"/>
    </xf>
    <xf numFmtId="0" fontId="6" fillId="9" borderId="5" xfId="0" applyFont="1" applyFill="1" applyBorder="1" applyAlignment="1">
      <alignment vertical="center" wrapText="1"/>
    </xf>
    <xf numFmtId="0" fontId="16" fillId="4" borderId="6" xfId="0" applyFont="1" applyFill="1" applyBorder="1" applyAlignment="1">
      <alignment vertical="center" wrapText="1"/>
    </xf>
    <xf numFmtId="0" fontId="6" fillId="4" borderId="2" xfId="0" applyFont="1" applyFill="1" applyBorder="1" applyAlignment="1">
      <alignment horizontal="left" vertical="center" wrapText="1"/>
    </xf>
    <xf numFmtId="0" fontId="15" fillId="7" borderId="4" xfId="0" applyFont="1" applyFill="1" applyBorder="1" applyAlignment="1">
      <alignment horizontal="left" vertical="center" wrapText="1"/>
    </xf>
    <xf numFmtId="0" fontId="6" fillId="4" borderId="6" xfId="0" applyFont="1" applyFill="1" applyBorder="1" applyAlignment="1">
      <alignment horizontal="left" vertical="center" wrapText="1"/>
    </xf>
    <xf numFmtId="0" fontId="17" fillId="4" borderId="4" xfId="0" applyFont="1" applyFill="1" applyBorder="1" applyAlignment="1">
      <alignment vertical="center" wrapText="1"/>
    </xf>
    <xf numFmtId="0" fontId="18" fillId="4" borderId="4" xfId="0" applyFont="1" applyFill="1" applyBorder="1" applyAlignment="1">
      <alignment vertical="center" wrapText="1"/>
    </xf>
    <xf numFmtId="0" fontId="6" fillId="4" borderId="4" xfId="0" applyFont="1" applyFill="1" applyBorder="1" applyAlignment="1">
      <alignment horizontal="left" vertical="center" wrapText="1"/>
    </xf>
    <xf numFmtId="0" fontId="1" fillId="0" borderId="0" xfId="0" applyFont="1" applyAlignment="1">
      <alignment vertical="center" wrapText="1"/>
    </xf>
    <xf numFmtId="0" fontId="7" fillId="4" borderId="4" xfId="0" applyFont="1" applyFill="1" applyBorder="1" applyAlignment="1">
      <alignment vertical="center"/>
    </xf>
    <xf numFmtId="0" fontId="6" fillId="12" borderId="4" xfId="0" applyFont="1" applyFill="1" applyBorder="1" applyAlignment="1">
      <alignment horizontal="left" vertical="center" wrapText="1"/>
    </xf>
    <xf numFmtId="0" fontId="6" fillId="7" borderId="9" xfId="0" applyFont="1" applyFill="1" applyBorder="1" applyAlignment="1">
      <alignment vertical="center" wrapText="1"/>
    </xf>
    <xf numFmtId="0" fontId="1" fillId="4" borderId="12" xfId="0" applyFont="1" applyFill="1" applyBorder="1" applyAlignment="1">
      <alignment vertical="center" wrapText="1"/>
    </xf>
    <xf numFmtId="0" fontId="8" fillId="4" borderId="12" xfId="0" applyFont="1" applyFill="1" applyBorder="1" applyAlignment="1">
      <alignment vertical="center" wrapText="1"/>
    </xf>
    <xf numFmtId="0" fontId="1" fillId="0" borderId="4" xfId="0" applyFont="1" applyBorder="1" applyAlignment="1">
      <alignment vertical="center" wrapText="1"/>
    </xf>
    <xf numFmtId="0" fontId="8" fillId="4" borderId="6" xfId="0" applyFont="1" applyFill="1" applyBorder="1" applyAlignment="1">
      <alignment vertical="center" wrapText="1"/>
    </xf>
    <xf numFmtId="0" fontId="1" fillId="0" borderId="6" xfId="0" applyFont="1" applyBorder="1" applyAlignment="1">
      <alignment vertical="center" wrapText="1"/>
    </xf>
    <xf numFmtId="0" fontId="15" fillId="4" borderId="2" xfId="0" applyFont="1" applyFill="1" applyBorder="1" applyAlignment="1">
      <alignment horizontal="left" vertical="center" wrapText="1"/>
    </xf>
    <xf numFmtId="0" fontId="15" fillId="7"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0" fontId="6" fillId="12" borderId="4" xfId="0" applyFont="1" applyFill="1" applyBorder="1" applyAlignment="1">
      <alignment vertical="center" wrapText="1"/>
    </xf>
    <xf numFmtId="0" fontId="1" fillId="12" borderId="3" xfId="0" applyFont="1" applyFill="1" applyBorder="1" applyAlignment="1">
      <alignment vertical="center" wrapText="1"/>
    </xf>
    <xf numFmtId="0" fontId="2" fillId="12" borderId="3" xfId="0" applyFont="1" applyFill="1" applyBorder="1" applyAlignment="1">
      <alignment vertical="center"/>
    </xf>
    <xf numFmtId="0" fontId="16" fillId="4" borderId="3" xfId="0" applyFont="1" applyFill="1" applyBorder="1" applyAlignment="1">
      <alignment vertical="center" wrapText="1"/>
    </xf>
    <xf numFmtId="0" fontId="1" fillId="0" borderId="3" xfId="0" applyFont="1" applyBorder="1" applyAlignment="1">
      <alignment vertical="center" wrapText="1"/>
    </xf>
    <xf numFmtId="0" fontId="1" fillId="4" borderId="6" xfId="0" applyFont="1" applyFill="1" applyBorder="1" applyAlignment="1">
      <alignment horizontal="left" vertical="center" wrapText="1"/>
    </xf>
    <xf numFmtId="0" fontId="6" fillId="7" borderId="5" xfId="0" applyFont="1" applyFill="1" applyBorder="1" applyAlignment="1">
      <alignment wrapText="1"/>
    </xf>
    <xf numFmtId="0" fontId="1" fillId="4" borderId="6" xfId="0" applyFont="1" applyFill="1" applyBorder="1" applyAlignment="1">
      <alignment wrapText="1"/>
    </xf>
    <xf numFmtId="0" fontId="2" fillId="4" borderId="6" xfId="0" applyFont="1" applyFill="1" applyBorder="1"/>
    <xf numFmtId="0" fontId="1" fillId="4" borderId="3" xfId="0" applyFont="1" applyFill="1" applyBorder="1" applyAlignment="1">
      <alignment horizontal="left" vertical="center" wrapText="1"/>
    </xf>
    <xf numFmtId="0" fontId="6" fillId="0" borderId="0" xfId="0" applyFont="1" applyAlignment="1">
      <alignment vertical="center" wrapText="1"/>
    </xf>
    <xf numFmtId="0" fontId="16" fillId="12" borderId="4" xfId="0" applyFont="1" applyFill="1" applyBorder="1" applyAlignment="1">
      <alignment vertical="center" wrapText="1"/>
    </xf>
    <xf numFmtId="0" fontId="16" fillId="4" borderId="4" xfId="0" quotePrefix="1" applyFont="1" applyFill="1" applyBorder="1" applyAlignment="1">
      <alignment vertical="center" wrapText="1"/>
    </xf>
    <xf numFmtId="0" fontId="16" fillId="4" borderId="5" xfId="0" applyFont="1" applyFill="1" applyBorder="1" applyAlignment="1">
      <alignment vertical="center" wrapText="1"/>
    </xf>
    <xf numFmtId="0" fontId="8" fillId="4" borderId="5" xfId="0" applyFont="1" applyFill="1" applyBorder="1" applyAlignment="1">
      <alignment vertical="center" wrapText="1"/>
    </xf>
    <xf numFmtId="0" fontId="2" fillId="4" borderId="2" xfId="0" applyFont="1" applyFill="1" applyBorder="1" applyAlignment="1">
      <alignment vertical="center"/>
    </xf>
    <xf numFmtId="0" fontId="16" fillId="4" borderId="5" xfId="0" quotePrefix="1" applyFont="1" applyFill="1" applyBorder="1" applyAlignment="1">
      <alignment vertical="center" wrapText="1"/>
    </xf>
    <xf numFmtId="0" fontId="2" fillId="4" borderId="4" xfId="0" applyFont="1" applyFill="1" applyBorder="1" applyAlignment="1">
      <alignment vertical="center" wrapText="1"/>
    </xf>
    <xf numFmtId="0" fontId="15" fillId="4" borderId="0" xfId="0" applyFont="1" applyFill="1" applyAlignment="1">
      <alignment horizontal="left" vertical="center" wrapText="1"/>
    </xf>
    <xf numFmtId="0" fontId="1" fillId="4" borderId="0" xfId="0" applyFont="1" applyFill="1" applyAlignment="1">
      <alignment horizontal="left" vertical="center" wrapText="1"/>
    </xf>
    <xf numFmtId="0" fontId="6" fillId="4" borderId="0" xfId="0" applyFont="1" applyFill="1" applyAlignment="1">
      <alignment horizontal="left" vertical="center" wrapText="1"/>
    </xf>
    <xf numFmtId="0" fontId="16" fillId="4" borderId="4" xfId="0" applyFont="1" applyFill="1" applyBorder="1" applyAlignment="1">
      <alignment vertical="center" wrapText="1"/>
    </xf>
    <xf numFmtId="0" fontId="6" fillId="12" borderId="1" xfId="0" applyFont="1" applyFill="1" applyBorder="1" applyAlignment="1">
      <alignment wrapText="1"/>
    </xf>
    <xf numFmtId="0" fontId="2" fillId="12" borderId="2" xfId="0" applyFont="1" applyFill="1" applyBorder="1"/>
    <xf numFmtId="0" fontId="2" fillId="12" borderId="3" xfId="0" applyFont="1" applyFill="1" applyBorder="1"/>
    <xf numFmtId="0" fontId="1" fillId="4" borderId="4" xfId="0" quotePrefix="1" applyFont="1" applyFill="1" applyBorder="1" applyAlignment="1">
      <alignment vertical="center" wrapText="1"/>
    </xf>
    <xf numFmtId="0" fontId="2" fillId="4" borderId="3" xfId="0" applyFont="1" applyFill="1" applyBorder="1"/>
    <xf numFmtId="0" fontId="2" fillId="4" borderId="3" xfId="0" applyFont="1" applyFill="1" applyBorder="1" applyAlignment="1">
      <alignment vertical="center" wrapText="1"/>
    </xf>
    <xf numFmtId="0" fontId="8" fillId="4" borderId="3" xfId="0" quotePrefix="1" applyFont="1" applyFill="1" applyBorder="1" applyAlignment="1">
      <alignment vertical="center" wrapText="1"/>
    </xf>
    <xf numFmtId="0" fontId="1" fillId="4" borderId="6" xfId="0" quotePrefix="1" applyFont="1" applyFill="1" applyBorder="1" applyAlignment="1">
      <alignment vertical="center" wrapText="1"/>
    </xf>
    <xf numFmtId="0" fontId="6" fillId="12" borderId="1" xfId="0" applyFont="1" applyFill="1" applyBorder="1" applyAlignment="1">
      <alignment vertical="center" wrapText="1"/>
    </xf>
    <xf numFmtId="0" fontId="2" fillId="12" borderId="2" xfId="0" applyFont="1" applyFill="1" applyBorder="1" applyAlignment="1">
      <alignment vertical="center"/>
    </xf>
    <xf numFmtId="0" fontId="7" fillId="12" borderId="2" xfId="0" applyFont="1" applyFill="1" applyBorder="1" applyAlignment="1">
      <alignment vertical="center"/>
    </xf>
    <xf numFmtId="0" fontId="7" fillId="12" borderId="3" xfId="0" applyFont="1" applyFill="1" applyBorder="1" applyAlignment="1">
      <alignment vertical="center"/>
    </xf>
    <xf numFmtId="0" fontId="6" fillId="12" borderId="13" xfId="0" applyFont="1" applyFill="1" applyBorder="1" applyAlignment="1">
      <alignment vertical="center" wrapText="1"/>
    </xf>
    <xf numFmtId="0" fontId="7" fillId="12" borderId="7" xfId="0" applyFont="1" applyFill="1" applyBorder="1" applyAlignment="1">
      <alignment vertical="center"/>
    </xf>
    <xf numFmtId="0" fontId="7" fillId="12" borderId="6" xfId="0" applyFont="1" applyFill="1" applyBorder="1" applyAlignment="1">
      <alignment vertical="center"/>
    </xf>
    <xf numFmtId="0" fontId="6" fillId="0" borderId="6" xfId="0" applyFont="1" applyBorder="1" applyAlignment="1">
      <alignment horizontal="center" vertical="center" wrapText="1"/>
    </xf>
    <xf numFmtId="0" fontId="7" fillId="12" borderId="2" xfId="0" applyFont="1" applyFill="1" applyBorder="1"/>
    <xf numFmtId="0" fontId="7" fillId="12" borderId="3" xfId="0" applyFont="1" applyFill="1" applyBorder="1"/>
    <xf numFmtId="0" fontId="19" fillId="4" borderId="6" xfId="0" applyFont="1" applyFill="1" applyBorder="1" applyAlignment="1">
      <alignment vertical="center" wrapText="1"/>
    </xf>
    <xf numFmtId="0" fontId="16" fillId="4" borderId="7" xfId="0" applyFont="1" applyFill="1" applyBorder="1" applyAlignment="1">
      <alignment vertical="center" wrapText="1"/>
    </xf>
    <xf numFmtId="0" fontId="16" fillId="4" borderId="1" xfId="0" applyFont="1" applyFill="1" applyBorder="1" applyAlignment="1">
      <alignment horizontal="left" vertical="center" wrapText="1"/>
    </xf>
    <xf numFmtId="0" fontId="1" fillId="4" borderId="4" xfId="0" applyFont="1" applyFill="1" applyBorder="1" applyAlignment="1">
      <alignment wrapText="1"/>
    </xf>
    <xf numFmtId="0" fontId="7" fillId="4" borderId="4" xfId="0" applyFont="1" applyFill="1" applyBorder="1"/>
    <xf numFmtId="0" fontId="1" fillId="4" borderId="1" xfId="0" quotePrefix="1" applyFont="1" applyFill="1" applyBorder="1" applyAlignment="1">
      <alignment vertical="center" wrapText="1"/>
    </xf>
    <xf numFmtId="0" fontId="1" fillId="4" borderId="3" xfId="0" quotePrefix="1" applyFont="1" applyFill="1" applyBorder="1" applyAlignment="1">
      <alignment vertical="center" wrapText="1"/>
    </xf>
    <xf numFmtId="0" fontId="16" fillId="4" borderId="4" xfId="0" applyFont="1" applyFill="1" applyBorder="1" applyAlignment="1">
      <alignment horizontal="left" vertical="center" wrapText="1"/>
    </xf>
    <xf numFmtId="0" fontId="6" fillId="0" borderId="4" xfId="0" applyFont="1" applyBorder="1" applyAlignment="1">
      <alignment horizontal="left" vertical="center" wrapText="1"/>
    </xf>
    <xf numFmtId="0" fontId="1" fillId="0" borderId="0" xfId="0" applyFont="1" applyAlignment="1">
      <alignment horizontal="center" vertical="center" wrapText="1"/>
    </xf>
    <xf numFmtId="0" fontId="1" fillId="4" borderId="0" xfId="0" applyFont="1" applyFill="1" applyAlignment="1">
      <alignment horizontal="center" vertical="center" wrapText="1"/>
    </xf>
    <xf numFmtId="9" fontId="1" fillId="0" borderId="4" xfId="0" applyNumberFormat="1" applyFont="1" applyBorder="1" applyAlignment="1">
      <alignment horizontal="center" vertical="center" wrapText="1"/>
    </xf>
    <xf numFmtId="0" fontId="1" fillId="0" borderId="4" xfId="0" applyFont="1" applyBorder="1" applyAlignment="1">
      <alignment horizontal="right" vertical="center" wrapText="1"/>
    </xf>
    <xf numFmtId="0" fontId="1" fillId="0" borderId="0" xfId="0" applyFont="1" applyAlignment="1">
      <alignment wrapText="1"/>
    </xf>
    <xf numFmtId="0" fontId="1" fillId="0" borderId="0" xfId="0" applyFont="1" applyAlignment="1">
      <alignment horizontal="right" vertical="center" wrapText="1"/>
    </xf>
    <xf numFmtId="0" fontId="1" fillId="0" borderId="4" xfId="0" applyFont="1" applyBorder="1" applyAlignment="1">
      <alignment wrapText="1"/>
    </xf>
    <xf numFmtId="0" fontId="1" fillId="0" borderId="3" xfId="0" applyFont="1" applyBorder="1" applyAlignment="1">
      <alignment horizontal="center" wrapText="1"/>
    </xf>
    <xf numFmtId="0" fontId="1" fillId="13" borderId="3" xfId="0" applyFont="1" applyFill="1" applyBorder="1" applyAlignment="1">
      <alignment horizontal="center" wrapText="1"/>
    </xf>
    <xf numFmtId="9" fontId="1" fillId="14" borderId="3" xfId="0" applyNumberFormat="1" applyFont="1" applyFill="1" applyBorder="1" applyAlignment="1">
      <alignment horizontal="center" wrapText="1"/>
    </xf>
    <xf numFmtId="9" fontId="1" fillId="4" borderId="3" xfId="0" applyNumberFormat="1" applyFont="1" applyFill="1" applyBorder="1" applyAlignment="1">
      <alignment horizontal="center" wrapText="1"/>
    </xf>
    <xf numFmtId="0" fontId="1" fillId="15" borderId="3" xfId="0" applyFont="1" applyFill="1" applyBorder="1" applyAlignment="1">
      <alignment horizontal="center" wrapText="1"/>
    </xf>
    <xf numFmtId="0" fontId="1" fillId="16" borderId="3" xfId="0" applyFont="1" applyFill="1" applyBorder="1" applyAlignment="1">
      <alignment horizontal="center" wrapText="1"/>
    </xf>
    <xf numFmtId="0" fontId="1" fillId="17" borderId="3" xfId="0" applyFont="1" applyFill="1" applyBorder="1" applyAlignment="1">
      <alignment horizontal="center" wrapText="1"/>
    </xf>
    <xf numFmtId="0" fontId="7" fillId="0" borderId="3" xfId="0" applyFont="1" applyBorder="1"/>
    <xf numFmtId="0" fontId="6" fillId="0" borderId="4" xfId="0" applyFont="1" applyBorder="1" applyAlignment="1">
      <alignment wrapText="1"/>
    </xf>
    <xf numFmtId="0" fontId="1" fillId="0" borderId="3" xfId="0" applyFont="1" applyBorder="1" applyAlignment="1">
      <alignment wrapText="1"/>
    </xf>
    <xf numFmtId="0" fontId="1" fillId="18" borderId="3" xfId="0" applyFont="1" applyFill="1" applyBorder="1" applyAlignment="1">
      <alignment horizontal="center" wrapText="1"/>
    </xf>
    <xf numFmtId="0" fontId="1" fillId="19" borderId="3" xfId="0" applyFont="1" applyFill="1" applyBorder="1" applyAlignment="1">
      <alignment horizontal="center" wrapText="1"/>
    </xf>
    <xf numFmtId="0" fontId="8" fillId="4" borderId="4" xfId="0" applyFont="1" applyFill="1" applyBorder="1" applyAlignment="1">
      <alignment vertical="center" wrapText="1"/>
    </xf>
    <xf numFmtId="0" fontId="1" fillId="4" borderId="0" xfId="0" applyFont="1" applyFill="1" applyAlignment="1">
      <alignment wrapText="1"/>
    </xf>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2" xfId="0" applyFont="1" applyFill="1" applyBorder="1" applyAlignment="1">
      <alignment horizontal="center" vertical="center" wrapText="1"/>
    </xf>
    <xf numFmtId="0" fontId="1" fillId="4" borderId="2" xfId="0" applyFont="1" applyFill="1" applyBorder="1" applyAlignment="1">
      <alignment horizontal="center" vertical="center"/>
    </xf>
    <xf numFmtId="0" fontId="3" fillId="0" borderId="0" xfId="0" applyFont="1" applyAlignment="1">
      <alignment horizontal="center"/>
    </xf>
    <xf numFmtId="0" fontId="1" fillId="0" borderId="4" xfId="0" applyFont="1" applyBorder="1" applyAlignment="1">
      <alignment horizontal="center" wrapText="1"/>
    </xf>
    <xf numFmtId="0" fontId="25" fillId="21" borderId="4" xfId="0" applyFont="1" applyFill="1" applyBorder="1" applyAlignment="1">
      <alignment horizontal="left" vertical="center" wrapText="1"/>
    </xf>
    <xf numFmtId="0" fontId="25" fillId="21" borderId="4" xfId="0" applyFont="1" applyFill="1" applyBorder="1" applyAlignment="1">
      <alignment horizontal="center" vertical="center" wrapText="1"/>
    </xf>
    <xf numFmtId="0" fontId="27" fillId="21" borderId="4" xfId="0" applyFont="1" applyFill="1" applyBorder="1" applyAlignment="1">
      <alignment horizontal="center" vertical="center" wrapText="1"/>
    </xf>
    <xf numFmtId="0" fontId="25" fillId="20" borderId="11" xfId="0" applyFont="1" applyFill="1" applyBorder="1" applyAlignment="1">
      <alignment horizontal="left" vertical="center" wrapText="1"/>
    </xf>
    <xf numFmtId="0" fontId="25" fillId="20" borderId="11" xfId="0" applyFont="1" applyFill="1" applyBorder="1" applyAlignment="1">
      <alignment horizontal="center" vertical="center" wrapText="1"/>
    </xf>
    <xf numFmtId="0" fontId="27" fillId="20" borderId="11" xfId="0" applyFont="1" applyFill="1" applyBorder="1" applyAlignment="1">
      <alignment horizontal="center" vertical="center" wrapText="1"/>
    </xf>
    <xf numFmtId="0" fontId="25" fillId="20" borderId="4" xfId="0" applyFont="1" applyFill="1" applyBorder="1" applyAlignment="1">
      <alignment horizontal="left" vertical="center" wrapText="1"/>
    </xf>
    <xf numFmtId="0" fontId="25" fillId="20" borderId="4" xfId="0" applyFont="1" applyFill="1" applyBorder="1" applyAlignment="1">
      <alignment horizontal="center" vertical="center" wrapText="1"/>
    </xf>
    <xf numFmtId="0" fontId="27" fillId="20" borderId="4" xfId="0" applyFont="1" applyFill="1" applyBorder="1" applyAlignment="1">
      <alignment horizontal="center" vertical="center" wrapText="1"/>
    </xf>
    <xf numFmtId="0" fontId="28" fillId="0" borderId="4" xfId="0" applyFont="1" applyBorder="1" applyAlignment="1">
      <alignment horizontal="left" vertical="center" wrapText="1"/>
    </xf>
    <xf numFmtId="0" fontId="28" fillId="0" borderId="4" xfId="0" applyFont="1" applyBorder="1" applyAlignment="1">
      <alignment horizontal="center" vertical="center" wrapText="1"/>
    </xf>
    <xf numFmtId="9" fontId="28" fillId="0" borderId="4" xfId="0" applyNumberFormat="1" applyFont="1" applyBorder="1" applyAlignment="1">
      <alignment horizontal="center" vertical="center" wrapText="1"/>
    </xf>
    <xf numFmtId="0" fontId="29" fillId="0" borderId="4" xfId="0" applyFont="1" applyBorder="1" applyAlignment="1">
      <alignment horizontal="center" vertical="center" wrapText="1"/>
    </xf>
    <xf numFmtId="0" fontId="30" fillId="4" borderId="4" xfId="0" applyFont="1" applyFill="1" applyBorder="1" applyAlignment="1">
      <alignment vertical="center" wrapText="1"/>
    </xf>
    <xf numFmtId="0" fontId="32" fillId="4" borderId="0" xfId="0" applyFont="1" applyFill="1" applyAlignment="1">
      <alignment horizontal="left" vertical="center"/>
    </xf>
    <xf numFmtId="0" fontId="33" fillId="4" borderId="4" xfId="0" applyFont="1" applyFill="1" applyBorder="1" applyAlignment="1">
      <alignment vertical="center" wrapText="1"/>
    </xf>
    <xf numFmtId="0" fontId="34" fillId="4" borderId="4" xfId="0" applyFont="1" applyFill="1" applyBorder="1" applyAlignment="1">
      <alignment vertical="center" wrapText="1"/>
    </xf>
    <xf numFmtId="0" fontId="35" fillId="4" borderId="4" xfId="0" applyFont="1" applyFill="1" applyBorder="1" applyAlignment="1">
      <alignment vertical="center" wrapText="1"/>
    </xf>
    <xf numFmtId="0" fontId="38" fillId="9" borderId="4" xfId="0" applyFont="1" applyFill="1" applyBorder="1" applyAlignment="1">
      <alignment horizontal="center" wrapText="1"/>
    </xf>
    <xf numFmtId="0" fontId="29" fillId="7" borderId="5" xfId="0" applyFont="1" applyFill="1" applyBorder="1" applyAlignment="1">
      <alignment horizontal="center" vertical="center" wrapText="1"/>
    </xf>
    <xf numFmtId="0" fontId="33" fillId="4" borderId="5" xfId="0" applyFont="1" applyFill="1" applyBorder="1" applyAlignment="1">
      <alignment vertical="center" wrapText="1"/>
    </xf>
    <xf numFmtId="0" fontId="33" fillId="4" borderId="3" xfId="0" applyFont="1" applyFill="1" applyBorder="1" applyAlignment="1">
      <alignment vertical="center" wrapText="1"/>
    </xf>
    <xf numFmtId="0" fontId="39" fillId="4" borderId="6" xfId="0" applyFont="1" applyFill="1" applyBorder="1" applyAlignment="1">
      <alignment vertical="center"/>
    </xf>
    <xf numFmtId="0" fontId="33" fillId="4" borderId="6" xfId="0" applyFont="1" applyFill="1" applyBorder="1" applyAlignment="1">
      <alignment vertical="center" wrapText="1"/>
    </xf>
    <xf numFmtId="0" fontId="34" fillId="4" borderId="6" xfId="0" applyFont="1" applyFill="1" applyBorder="1" applyAlignment="1">
      <alignment vertical="center" wrapText="1"/>
    </xf>
    <xf numFmtId="0" fontId="34" fillId="4" borderId="3" xfId="0" applyFont="1" applyFill="1" applyBorder="1" applyAlignment="1">
      <alignment vertical="center" wrapText="1"/>
    </xf>
    <xf numFmtId="0" fontId="39" fillId="4" borderId="3" xfId="0" applyFont="1" applyFill="1" applyBorder="1" applyAlignment="1">
      <alignment vertical="center"/>
    </xf>
    <xf numFmtId="0" fontId="47" fillId="0" borderId="0" xfId="0" applyFont="1"/>
    <xf numFmtId="0" fontId="49" fillId="2" borderId="0" xfId="0" applyFont="1" applyFill="1"/>
    <xf numFmtId="0" fontId="50" fillId="2" borderId="0" xfId="0" applyFont="1" applyFill="1"/>
    <xf numFmtId="0" fontId="49" fillId="3" borderId="0" xfId="0" applyFont="1" applyFill="1"/>
    <xf numFmtId="0" fontId="51" fillId="0" borderId="0" xfId="0" applyFont="1"/>
    <xf numFmtId="0" fontId="50" fillId="0" borderId="0" xfId="0" applyFont="1"/>
    <xf numFmtId="0" fontId="50" fillId="4" borderId="0" xfId="0" applyFont="1" applyFill="1"/>
    <xf numFmtId="0" fontId="50" fillId="3" borderId="0" xfId="0" applyFont="1" applyFill="1"/>
    <xf numFmtId="0" fontId="49" fillId="5" borderId="0" xfId="0" applyFont="1" applyFill="1"/>
    <xf numFmtId="0" fontId="50" fillId="5" borderId="0" xfId="0" applyFont="1" applyFill="1"/>
    <xf numFmtId="0" fontId="49" fillId="4" borderId="0" xfId="0" applyFont="1" applyFill="1"/>
    <xf numFmtId="0" fontId="51" fillId="4" borderId="0" xfId="0" applyFont="1" applyFill="1" applyAlignment="1">
      <alignment horizontal="left"/>
    </xf>
    <xf numFmtId="0" fontId="49" fillId="0" borderId="0" xfId="0" applyFont="1"/>
    <xf numFmtId="0" fontId="53" fillId="10" borderId="4" xfId="0" applyFont="1" applyFill="1" applyBorder="1" applyAlignment="1">
      <alignment horizontal="left" vertical="center" wrapText="1"/>
    </xf>
    <xf numFmtId="0" fontId="54" fillId="10" borderId="4" xfId="0" applyFont="1" applyFill="1" applyBorder="1" applyAlignment="1">
      <alignment horizontal="left" vertical="center" wrapText="1"/>
    </xf>
    <xf numFmtId="0" fontId="55" fillId="0" borderId="0" xfId="0" applyFont="1" applyAlignment="1">
      <alignment vertical="center"/>
    </xf>
    <xf numFmtId="0" fontId="54" fillId="11" borderId="3" xfId="0" applyFont="1" applyFill="1" applyBorder="1" applyAlignment="1">
      <alignment vertical="center" wrapText="1"/>
    </xf>
    <xf numFmtId="0" fontId="46" fillId="11" borderId="3" xfId="0" applyFont="1" applyFill="1" applyBorder="1" applyAlignment="1">
      <alignment vertical="center"/>
    </xf>
    <xf numFmtId="0" fontId="53" fillId="11" borderId="4" xfId="0" applyFont="1" applyFill="1" applyBorder="1" applyAlignment="1">
      <alignment horizontal="left" vertical="center" wrapText="1"/>
    </xf>
    <xf numFmtId="0" fontId="55" fillId="11" borderId="4" xfId="0" applyFont="1" applyFill="1" applyBorder="1" applyAlignment="1">
      <alignment horizontal="left" vertical="center" wrapText="1"/>
    </xf>
    <xf numFmtId="0" fontId="48" fillId="11" borderId="4" xfId="0" applyFont="1" applyFill="1" applyBorder="1" applyAlignment="1">
      <alignment horizontal="left" vertical="center" wrapText="1"/>
    </xf>
    <xf numFmtId="0" fontId="48" fillId="4" borderId="4" xfId="0" applyFont="1" applyFill="1" applyBorder="1" applyAlignment="1">
      <alignment vertical="center" wrapText="1"/>
    </xf>
    <xf numFmtId="0" fontId="55" fillId="0" borderId="0" xfId="0" applyFont="1" applyAlignment="1">
      <alignment vertical="center" wrapText="1"/>
    </xf>
    <xf numFmtId="0" fontId="55" fillId="0" borderId="4" xfId="0" applyFont="1" applyBorder="1" applyAlignment="1">
      <alignment horizontal="left" vertical="center" wrapText="1"/>
    </xf>
    <xf numFmtId="0" fontId="48" fillId="0" borderId="4" xfId="0" applyFont="1" applyBorder="1" applyAlignment="1">
      <alignment horizontal="left" vertical="center" wrapText="1"/>
    </xf>
    <xf numFmtId="0" fontId="48" fillId="4" borderId="4" xfId="0" applyFont="1" applyFill="1" applyBorder="1" applyAlignment="1">
      <alignment horizontal="left" vertical="center" wrapText="1"/>
    </xf>
    <xf numFmtId="0" fontId="54" fillId="4" borderId="4" xfId="0" applyFont="1" applyFill="1" applyBorder="1" applyAlignment="1">
      <alignment vertical="center" wrapText="1"/>
    </xf>
    <xf numFmtId="0" fontId="55" fillId="4" borderId="4" xfId="0" applyFont="1" applyFill="1" applyBorder="1" applyAlignment="1">
      <alignment horizontal="left" vertical="center" wrapText="1"/>
    </xf>
    <xf numFmtId="0" fontId="55" fillId="4" borderId="0" xfId="0" applyFont="1" applyFill="1" applyAlignment="1">
      <alignment horizontal="left" vertical="center" wrapText="1"/>
    </xf>
    <xf numFmtId="0" fontId="55" fillId="4" borderId="4" xfId="0" applyFont="1" applyFill="1" applyBorder="1" applyAlignment="1">
      <alignment horizontal="left" vertical="center"/>
    </xf>
    <xf numFmtId="0" fontId="48" fillId="4" borderId="0" xfId="0" applyFont="1" applyFill="1" applyAlignment="1">
      <alignment vertical="center" wrapText="1"/>
    </xf>
    <xf numFmtId="0" fontId="48" fillId="11" borderId="1" xfId="0" applyFont="1" applyFill="1" applyBorder="1" applyAlignment="1">
      <alignment horizontal="left" vertical="center" wrapText="1"/>
    </xf>
    <xf numFmtId="0" fontId="55" fillId="4" borderId="9" xfId="0" applyFont="1" applyFill="1" applyBorder="1" applyAlignment="1">
      <alignment horizontal="left" vertical="center" wrapText="1"/>
    </xf>
    <xf numFmtId="0" fontId="55" fillId="0" borderId="3" xfId="0" applyFont="1" applyBorder="1" applyAlignment="1">
      <alignment horizontal="left" vertical="center" wrapText="1"/>
    </xf>
    <xf numFmtId="0" fontId="48" fillId="4" borderId="4" xfId="0" applyFont="1" applyFill="1" applyBorder="1" applyAlignment="1">
      <alignment vertical="center"/>
    </xf>
    <xf numFmtId="0" fontId="55" fillId="0" borderId="10" xfId="0" applyFont="1" applyBorder="1" applyAlignment="1">
      <alignment horizontal="left" vertical="center" wrapText="1"/>
    </xf>
    <xf numFmtId="0" fontId="48" fillId="0" borderId="10" xfId="0" applyFont="1" applyBorder="1" applyAlignment="1">
      <alignment horizontal="left" vertical="center" wrapText="1"/>
    </xf>
    <xf numFmtId="0" fontId="55" fillId="0" borderId="4" xfId="0" applyFont="1" applyBorder="1" applyAlignment="1">
      <alignment horizontal="left" vertical="center"/>
    </xf>
    <xf numFmtId="0" fontId="48" fillId="4" borderId="6" xfId="0" applyFont="1" applyFill="1" applyBorder="1" applyAlignment="1">
      <alignment vertical="center" wrapText="1"/>
    </xf>
    <xf numFmtId="0" fontId="55" fillId="0" borderId="11" xfId="0" applyFont="1" applyBorder="1" applyAlignment="1">
      <alignment horizontal="left" vertical="center" wrapText="1"/>
    </xf>
    <xf numFmtId="0" fontId="55" fillId="0" borderId="2" xfId="0" applyFont="1" applyBorder="1" applyAlignment="1">
      <alignment horizontal="left" vertical="center" wrapText="1"/>
    </xf>
    <xf numFmtId="0" fontId="48" fillId="0" borderId="2" xfId="0" applyFont="1" applyBorder="1" applyAlignment="1">
      <alignment horizontal="left" vertical="center" wrapText="1"/>
    </xf>
    <xf numFmtId="0" fontId="48" fillId="4" borderId="2" xfId="0" applyFont="1" applyFill="1" applyBorder="1" applyAlignment="1">
      <alignment horizontal="left" vertical="center" wrapText="1"/>
    </xf>
    <xf numFmtId="0" fontId="55" fillId="4" borderId="0" xfId="0" applyFont="1" applyFill="1" applyAlignment="1">
      <alignment vertical="center"/>
    </xf>
    <xf numFmtId="0" fontId="55" fillId="0" borderId="0" xfId="0" applyFont="1" applyAlignment="1">
      <alignment horizontal="left" vertical="center"/>
    </xf>
    <xf numFmtId="0" fontId="54" fillId="11" borderId="4" xfId="0" applyFont="1" applyFill="1" applyBorder="1" applyAlignment="1">
      <alignment vertical="center" wrapText="1"/>
    </xf>
    <xf numFmtId="0" fontId="54" fillId="11" borderId="4" xfId="0" applyFont="1" applyFill="1" applyBorder="1" applyAlignment="1">
      <alignment wrapText="1"/>
    </xf>
    <xf numFmtId="0" fontId="48" fillId="4" borderId="5" xfId="0" applyFont="1" applyFill="1" applyBorder="1" applyAlignment="1">
      <alignment horizontal="left" vertical="center" wrapText="1"/>
    </xf>
    <xf numFmtId="0" fontId="46" fillId="4" borderId="5" xfId="0" applyFont="1" applyFill="1" applyBorder="1"/>
    <xf numFmtId="0" fontId="48" fillId="4" borderId="5" xfId="0" applyFont="1" applyFill="1" applyBorder="1" applyAlignment="1">
      <alignment vertical="center" wrapText="1"/>
    </xf>
    <xf numFmtId="0" fontId="48" fillId="4" borderId="5" xfId="0" applyFont="1" applyFill="1" applyBorder="1" applyAlignment="1">
      <alignment wrapText="1"/>
    </xf>
    <xf numFmtId="0" fontId="48" fillId="4" borderId="4" xfId="0" applyFont="1" applyFill="1" applyBorder="1" applyAlignment="1">
      <alignment horizontal="left" vertical="center"/>
    </xf>
    <xf numFmtId="0" fontId="48" fillId="0" borderId="0" xfId="0" applyFont="1" applyAlignment="1">
      <alignment vertical="center"/>
    </xf>
    <xf numFmtId="0" fontId="48" fillId="4" borderId="11" xfId="0" applyFont="1" applyFill="1" applyBorder="1" applyAlignment="1">
      <alignment horizontal="left" vertical="center" wrapText="1"/>
    </xf>
    <xf numFmtId="0" fontId="53" fillId="0" borderId="0" xfId="0" applyFont="1" applyAlignment="1">
      <alignment horizontal="left" vertical="center" wrapText="1"/>
    </xf>
    <xf numFmtId="0" fontId="53" fillId="2" borderId="0" xfId="0" applyFont="1" applyFill="1" applyAlignment="1">
      <alignment horizontal="left" vertical="center" wrapText="1"/>
    </xf>
    <xf numFmtId="0" fontId="48" fillId="0" borderId="1" xfId="0" applyFont="1" applyBorder="1" applyAlignment="1">
      <alignment vertical="center" wrapText="1"/>
    </xf>
    <xf numFmtId="0" fontId="55" fillId="4" borderId="1" xfId="0" quotePrefix="1" applyFont="1" applyFill="1" applyBorder="1" applyAlignment="1">
      <alignment horizontal="left" vertical="center" wrapText="1"/>
    </xf>
    <xf numFmtId="0" fontId="55" fillId="4" borderId="2" xfId="0" applyFont="1" applyFill="1" applyBorder="1" applyAlignment="1">
      <alignment horizontal="left" vertical="center" wrapText="1"/>
    </xf>
    <xf numFmtId="0" fontId="55" fillId="22" borderId="4" xfId="0" applyFont="1" applyFill="1" applyBorder="1" applyAlignment="1">
      <alignment horizontal="left" vertical="center" wrapText="1"/>
    </xf>
    <xf numFmtId="0" fontId="57" fillId="0" borderId="2" xfId="0" applyFont="1" applyBorder="1" applyAlignment="1">
      <alignment horizontal="left" vertical="center" wrapText="1"/>
    </xf>
    <xf numFmtId="0" fontId="48" fillId="4" borderId="1" xfId="0" applyFont="1" applyFill="1" applyBorder="1" applyAlignment="1">
      <alignment vertical="center" wrapText="1"/>
    </xf>
    <xf numFmtId="0" fontId="55" fillId="4" borderId="1" xfId="0" applyFont="1" applyFill="1" applyBorder="1" applyAlignment="1">
      <alignment horizontal="left" vertical="center" wrapText="1"/>
    </xf>
    <xf numFmtId="0" fontId="57" fillId="4" borderId="2" xfId="0" applyFont="1" applyFill="1" applyBorder="1" applyAlignment="1">
      <alignment horizontal="left" vertical="center" wrapText="1"/>
    </xf>
    <xf numFmtId="0" fontId="55" fillId="4" borderId="2" xfId="0" quotePrefix="1" applyFont="1" applyFill="1" applyBorder="1" applyAlignment="1">
      <alignment horizontal="left" vertical="center" wrapText="1"/>
    </xf>
    <xf numFmtId="0" fontId="55" fillId="4" borderId="3" xfId="0" applyFont="1" applyFill="1" applyBorder="1" applyAlignment="1">
      <alignment horizontal="left" vertical="center" wrapText="1"/>
    </xf>
    <xf numFmtId="0" fontId="55" fillId="4" borderId="2" xfId="0" applyFont="1" applyFill="1" applyBorder="1" applyAlignment="1">
      <alignment horizontal="left" vertical="center"/>
    </xf>
    <xf numFmtId="0" fontId="55" fillId="4" borderId="1" xfId="0" applyFont="1" applyFill="1" applyBorder="1" applyAlignment="1">
      <alignment horizontal="left"/>
    </xf>
    <xf numFmtId="0" fontId="55" fillId="4" borderId="2" xfId="0" applyFont="1" applyFill="1" applyBorder="1" applyAlignment="1">
      <alignment horizontal="left"/>
    </xf>
    <xf numFmtId="0" fontId="46" fillId="0" borderId="2" xfId="0" applyFont="1" applyBorder="1"/>
    <xf numFmtId="0" fontId="48" fillId="4" borderId="2" xfId="0" applyFont="1" applyFill="1" applyBorder="1" applyAlignment="1">
      <alignment vertical="center" wrapText="1"/>
    </xf>
    <xf numFmtId="0" fontId="48" fillId="4" borderId="1" xfId="0" quotePrefix="1" applyFont="1" applyFill="1" applyBorder="1" applyAlignment="1">
      <alignment horizontal="left" vertical="center" wrapText="1"/>
    </xf>
    <xf numFmtId="0" fontId="48" fillId="4" borderId="2" xfId="0" quotePrefix="1" applyFont="1" applyFill="1" applyBorder="1" applyAlignment="1">
      <alignment vertical="center" wrapText="1"/>
    </xf>
    <xf numFmtId="0" fontId="55" fillId="4" borderId="1" xfId="0" quotePrefix="1" applyFont="1" applyFill="1" applyBorder="1" applyAlignment="1">
      <alignment horizontal="left" vertical="center"/>
    </xf>
    <xf numFmtId="0" fontId="55" fillId="4" borderId="2" xfId="0" applyFont="1" applyFill="1" applyBorder="1" applyAlignment="1">
      <alignment horizontal="left" wrapText="1"/>
    </xf>
    <xf numFmtId="0" fontId="34" fillId="0" borderId="4" xfId="0" applyFont="1" applyBorder="1" applyAlignment="1">
      <alignment horizontal="center" vertical="center" wrapText="1"/>
    </xf>
    <xf numFmtId="0" fontId="38" fillId="4" borderId="7" xfId="0" applyFont="1" applyFill="1" applyBorder="1" applyAlignment="1">
      <alignment horizontal="center" vertical="center" wrapText="1"/>
    </xf>
    <xf numFmtId="0" fontId="33" fillId="4" borderId="6"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38" fillId="4" borderId="6" xfId="0" applyFont="1" applyFill="1" applyBorder="1" applyAlignment="1">
      <alignment horizontal="center" vertical="center" wrapText="1"/>
    </xf>
    <xf numFmtId="0" fontId="58" fillId="4" borderId="3" xfId="0" applyFont="1" applyFill="1" applyBorder="1" applyAlignment="1">
      <alignment horizontal="center" vertical="center" wrapText="1"/>
    </xf>
    <xf numFmtId="0" fontId="38" fillId="4" borderId="3" xfId="0" applyFont="1" applyFill="1" applyBorder="1" applyAlignment="1">
      <alignment horizontal="center" vertical="center" wrapText="1"/>
    </xf>
    <xf numFmtId="0" fontId="33" fillId="4" borderId="4" xfId="0" applyFont="1" applyFill="1" applyBorder="1" applyAlignment="1">
      <alignment horizontal="center" vertical="center" wrapText="1"/>
    </xf>
    <xf numFmtId="0" fontId="59" fillId="0" borderId="0" xfId="0" applyFont="1" applyAlignment="1">
      <alignment wrapText="1"/>
    </xf>
    <xf numFmtId="0" fontId="49" fillId="4" borderId="0" xfId="0" applyFont="1" applyFill="1"/>
    <xf numFmtId="0" fontId="51" fillId="0" borderId="0" xfId="0" applyFont="1"/>
    <xf numFmtId="0" fontId="44" fillId="8" borderId="1" xfId="0" applyFont="1" applyFill="1" applyBorder="1" applyAlignment="1">
      <alignment horizontal="center" vertical="center" wrapText="1"/>
    </xf>
    <xf numFmtId="0" fontId="5" fillId="0" borderId="2" xfId="0" applyFont="1" applyBorder="1"/>
    <xf numFmtId="0" fontId="5" fillId="0" borderId="3" xfId="0" applyFont="1" applyBorder="1"/>
    <xf numFmtId="0" fontId="44" fillId="6" borderId="1" xfId="0" applyFont="1" applyFill="1" applyBorder="1" applyAlignment="1">
      <alignment horizontal="center" vertical="center" wrapText="1"/>
    </xf>
    <xf numFmtId="0" fontId="12" fillId="6" borderId="7" xfId="0" applyFont="1" applyFill="1" applyBorder="1" applyAlignment="1">
      <alignment horizontal="center" wrapText="1"/>
    </xf>
    <xf numFmtId="0" fontId="5" fillId="0" borderId="7" xfId="0" applyFont="1" applyBorder="1"/>
    <xf numFmtId="0" fontId="44" fillId="6" borderId="0" xfId="0" applyFont="1" applyFill="1" applyAlignment="1">
      <alignment horizontal="center"/>
    </xf>
    <xf numFmtId="0" fontId="0" fillId="0" borderId="0" xfId="0"/>
    <xf numFmtId="0" fontId="48" fillId="4" borderId="7" xfId="0" applyFont="1" applyFill="1" applyBorder="1" applyAlignment="1">
      <alignment horizontal="left" vertical="center" wrapText="1"/>
    </xf>
    <xf numFmtId="0" fontId="56" fillId="0" borderId="6" xfId="0" applyFont="1" applyBorder="1"/>
    <xf numFmtId="0" fontId="48" fillId="4" borderId="1" xfId="0" applyFont="1" applyFill="1" applyBorder="1" applyAlignment="1">
      <alignment horizontal="left" vertical="center" wrapText="1"/>
    </xf>
    <xf numFmtId="0" fontId="56" fillId="0" borderId="3" xfId="0" applyFont="1" applyBorder="1"/>
    <xf numFmtId="0" fontId="48" fillId="4" borderId="1" xfId="0" applyFont="1" applyFill="1" applyBorder="1" applyAlignment="1">
      <alignment horizontal="left" vertical="center"/>
    </xf>
    <xf numFmtId="0" fontId="54" fillId="11" borderId="1" xfId="0" applyFont="1" applyFill="1" applyBorder="1" applyAlignment="1">
      <alignment vertical="center" wrapText="1"/>
    </xf>
    <xf numFmtId="0" fontId="53" fillId="2" borderId="0" xfId="0" applyFont="1" applyFill="1" applyAlignment="1">
      <alignment horizontal="left" vertical="center" wrapText="1"/>
    </xf>
    <xf numFmtId="0" fontId="47" fillId="0" borderId="0" xfId="0" applyFont="1"/>
    <xf numFmtId="0" fontId="6" fillId="12" borderId="1" xfId="0" applyFont="1" applyFill="1" applyBorder="1" applyAlignment="1">
      <alignment horizontal="left" vertical="center" wrapText="1"/>
    </xf>
    <xf numFmtId="0" fontId="1" fillId="4" borderId="1" xfId="0" applyFont="1" applyFill="1" applyBorder="1" applyAlignment="1">
      <alignment wrapText="1"/>
    </xf>
    <xf numFmtId="0" fontId="1" fillId="4" borderId="7" xfId="0" applyFont="1" applyFill="1" applyBorder="1" applyAlignment="1">
      <alignment horizontal="left" vertical="center" wrapText="1"/>
    </xf>
    <xf numFmtId="0" fontId="5" fillId="0" borderId="6" xfId="0" applyFont="1" applyBorder="1"/>
    <xf numFmtId="0" fontId="1" fillId="4" borderId="1" xfId="0" applyFont="1" applyFill="1" applyBorder="1" applyAlignment="1">
      <alignment vertical="center" wrapText="1"/>
    </xf>
    <xf numFmtId="0" fontId="60"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lvl="0">
              <a:defRPr b="0">
                <a:solidFill>
                  <a:srgbClr val="757575"/>
                </a:solidFill>
                <a:latin typeface="+mn-lt"/>
              </a:defRPr>
            </a:pPr>
            <a:r>
              <a:rPr lang="en-US" b="0">
                <a:solidFill>
                  <a:srgbClr val="757575"/>
                </a:solidFill>
                <a:latin typeface="+mn-lt"/>
              </a:rPr>
              <a:t>Durability/Stamina Modifier</a:t>
            </a:r>
          </a:p>
        </c:rich>
      </c:tx>
      <c:overlay val="0"/>
    </c:title>
    <c:autoTitleDeleted val="0"/>
    <c:plotArea>
      <c:layout/>
      <c:scatterChart>
        <c:scatterStyle val="lineMarker"/>
        <c:varyColors val="0"/>
        <c:ser>
          <c:idx val="0"/>
          <c:order val="0"/>
          <c:tx>
            <c:strRef>
              <c:f>护甲!$C$1</c:f>
              <c:strCache>
                <c:ptCount val="1"/>
                <c:pt idx="0">
                  <c:v>耐久</c:v>
                </c:pt>
              </c:strCache>
            </c:strRef>
          </c:tx>
          <c:spPr>
            <a:ln>
              <a:noFill/>
            </a:ln>
          </c:spPr>
          <c:marker>
            <c:symbol val="circle"/>
            <c:size val="7"/>
            <c:spPr>
              <a:solidFill>
                <a:schemeClr val="accent1"/>
              </a:solidFill>
              <a:ln cmpd="sng">
                <a:solidFill>
                  <a:schemeClr val="accent1"/>
                </a:solidFill>
              </a:ln>
            </c:spPr>
          </c:marker>
          <c:trendline>
            <c:spPr>
              <a:ln w="19050">
                <a:solidFill>
                  <a:srgbClr val="000000"/>
                </a:solidFill>
              </a:ln>
            </c:spPr>
            <c:trendlineType val="linear"/>
            <c:dispRSqr val="0"/>
            <c:dispEq val="0"/>
          </c:trendline>
          <c:xVal>
            <c:numRef>
              <c:f>护甲!$D$2:$D$988</c:f>
              <c:numCache>
                <c:formatCode>General</c:formatCode>
                <c:ptCount val="987"/>
                <c:pt idx="12">
                  <c:v>-1</c:v>
                </c:pt>
                <c:pt idx="13">
                  <c:v>-2</c:v>
                </c:pt>
                <c:pt idx="14">
                  <c:v>-2</c:v>
                </c:pt>
                <c:pt idx="15">
                  <c:v>-3</c:v>
                </c:pt>
                <c:pt idx="16">
                  <c:v>-4</c:v>
                </c:pt>
                <c:pt idx="17">
                  <c:v>-3</c:v>
                </c:pt>
                <c:pt idx="18">
                  <c:v>-4</c:v>
                </c:pt>
                <c:pt idx="19">
                  <c:v>-5</c:v>
                </c:pt>
                <c:pt idx="20">
                  <c:v>-6</c:v>
                </c:pt>
                <c:pt idx="21">
                  <c:v>-4</c:v>
                </c:pt>
                <c:pt idx="22">
                  <c:v>-5</c:v>
                </c:pt>
                <c:pt idx="23">
                  <c:v>-5</c:v>
                </c:pt>
                <c:pt idx="24">
                  <c:v>-6</c:v>
                </c:pt>
                <c:pt idx="25">
                  <c:v>-7</c:v>
                </c:pt>
                <c:pt idx="26">
                  <c:v>-7</c:v>
                </c:pt>
                <c:pt idx="27">
                  <c:v>-8</c:v>
                </c:pt>
                <c:pt idx="28">
                  <c:v>-7</c:v>
                </c:pt>
                <c:pt idx="29">
                  <c:v>-8</c:v>
                </c:pt>
                <c:pt idx="30">
                  <c:v>-8</c:v>
                </c:pt>
                <c:pt idx="31">
                  <c:v>-8</c:v>
                </c:pt>
                <c:pt idx="32">
                  <c:v>-9</c:v>
                </c:pt>
                <c:pt idx="33">
                  <c:v>-10</c:v>
                </c:pt>
                <c:pt idx="34">
                  <c:v>-10</c:v>
                </c:pt>
                <c:pt idx="35">
                  <c:v>-10</c:v>
                </c:pt>
                <c:pt idx="36">
                  <c:v>-9</c:v>
                </c:pt>
                <c:pt idx="37">
                  <c:v>-11</c:v>
                </c:pt>
                <c:pt idx="38">
                  <c:v>-11</c:v>
                </c:pt>
                <c:pt idx="39">
                  <c:v>-11</c:v>
                </c:pt>
                <c:pt idx="40">
                  <c:v>-11</c:v>
                </c:pt>
                <c:pt idx="41">
                  <c:v>-9</c:v>
                </c:pt>
                <c:pt idx="42">
                  <c:v>-13</c:v>
                </c:pt>
                <c:pt idx="43">
                  <c:v>-15</c:v>
                </c:pt>
                <c:pt idx="44">
                  <c:v>-16</c:v>
                </c:pt>
                <c:pt idx="45">
                  <c:v>-18</c:v>
                </c:pt>
                <c:pt idx="46">
                  <c:v>-15</c:v>
                </c:pt>
                <c:pt idx="47">
                  <c:v>-18</c:v>
                </c:pt>
                <c:pt idx="48">
                  <c:v>-12</c:v>
                </c:pt>
                <c:pt idx="49">
                  <c:v>-21</c:v>
                </c:pt>
                <c:pt idx="50">
                  <c:v>-24</c:v>
                </c:pt>
                <c:pt idx="51">
                  <c:v>-26</c:v>
                </c:pt>
                <c:pt idx="52">
                  <c:v>-19</c:v>
                </c:pt>
                <c:pt idx="53">
                  <c:v>-24</c:v>
                </c:pt>
                <c:pt idx="54">
                  <c:v>-22</c:v>
                </c:pt>
                <c:pt idx="55">
                  <c:v>-25</c:v>
                </c:pt>
                <c:pt idx="56">
                  <c:v>-26</c:v>
                </c:pt>
                <c:pt idx="57">
                  <c:v>-24</c:v>
                </c:pt>
                <c:pt idx="58">
                  <c:v>-26</c:v>
                </c:pt>
                <c:pt idx="59">
                  <c:v>-30</c:v>
                </c:pt>
                <c:pt idx="60">
                  <c:v>-35</c:v>
                </c:pt>
                <c:pt idx="61">
                  <c:v>-28</c:v>
                </c:pt>
                <c:pt idx="62">
                  <c:v>-36</c:v>
                </c:pt>
                <c:pt idx="63">
                  <c:v>-26</c:v>
                </c:pt>
                <c:pt idx="64">
                  <c:v>-30</c:v>
                </c:pt>
                <c:pt idx="65">
                  <c:v>-32</c:v>
                </c:pt>
                <c:pt idx="66">
                  <c:v>-28</c:v>
                </c:pt>
                <c:pt idx="67">
                  <c:v>-42</c:v>
                </c:pt>
                <c:pt idx="68">
                  <c:v>-32</c:v>
                </c:pt>
                <c:pt idx="69">
                  <c:v>-40</c:v>
                </c:pt>
                <c:pt idx="70">
                  <c:v>-36</c:v>
                </c:pt>
                <c:pt idx="71">
                  <c:v>-34</c:v>
                </c:pt>
                <c:pt idx="72">
                  <c:v>-38</c:v>
                </c:pt>
                <c:pt idx="73">
                  <c:v>-42</c:v>
                </c:pt>
                <c:pt idx="74">
                  <c:v>-40</c:v>
                </c:pt>
                <c:pt idx="75">
                  <c:v>-42</c:v>
                </c:pt>
                <c:pt idx="76">
                  <c:v>-40</c:v>
                </c:pt>
                <c:pt idx="77">
                  <c:v>-44</c:v>
                </c:pt>
              </c:numCache>
            </c:numRef>
          </c:xVal>
          <c:yVal>
            <c:numRef>
              <c:f>护甲!$C$2:$C$988</c:f>
              <c:numCache>
                <c:formatCode>General</c:formatCode>
                <c:ptCount val="987"/>
                <c:pt idx="0">
                  <c:v>5</c:v>
                </c:pt>
                <c:pt idx="1">
                  <c:v>10</c:v>
                </c:pt>
                <c:pt idx="2">
                  <c:v>20</c:v>
                </c:pt>
                <c:pt idx="3">
                  <c:v>20</c:v>
                </c:pt>
                <c:pt idx="4">
                  <c:v>20</c:v>
                </c:pt>
                <c:pt idx="5">
                  <c:v>20</c:v>
                </c:pt>
                <c:pt idx="6">
                  <c:v>20</c:v>
                </c:pt>
                <c:pt idx="7">
                  <c:v>20</c:v>
                </c:pt>
                <c:pt idx="8">
                  <c:v>25</c:v>
                </c:pt>
                <c:pt idx="9">
                  <c:v>25</c:v>
                </c:pt>
                <c:pt idx="10">
                  <c:v>30</c:v>
                </c:pt>
                <c:pt idx="11">
                  <c:v>30</c:v>
                </c:pt>
                <c:pt idx="12">
                  <c:v>30</c:v>
                </c:pt>
                <c:pt idx="13">
                  <c:v>30</c:v>
                </c:pt>
                <c:pt idx="14">
                  <c:v>35</c:v>
                </c:pt>
                <c:pt idx="15">
                  <c:v>35</c:v>
                </c:pt>
                <c:pt idx="16">
                  <c:v>40</c:v>
                </c:pt>
                <c:pt idx="17">
                  <c:v>45</c:v>
                </c:pt>
                <c:pt idx="18">
                  <c:v>50</c:v>
                </c:pt>
                <c:pt idx="19">
                  <c:v>50</c:v>
                </c:pt>
                <c:pt idx="20">
                  <c:v>55</c:v>
                </c:pt>
                <c:pt idx="21">
                  <c:v>60</c:v>
                </c:pt>
                <c:pt idx="22">
                  <c:v>60</c:v>
                </c:pt>
                <c:pt idx="23">
                  <c:v>65</c:v>
                </c:pt>
                <c:pt idx="24">
                  <c:v>65</c:v>
                </c:pt>
                <c:pt idx="25">
                  <c:v>65</c:v>
                </c:pt>
                <c:pt idx="26">
                  <c:v>65</c:v>
                </c:pt>
                <c:pt idx="27">
                  <c:v>70</c:v>
                </c:pt>
                <c:pt idx="28">
                  <c:v>75</c:v>
                </c:pt>
                <c:pt idx="29">
                  <c:v>75</c:v>
                </c:pt>
                <c:pt idx="30">
                  <c:v>80</c:v>
                </c:pt>
                <c:pt idx="31">
                  <c:v>80</c:v>
                </c:pt>
                <c:pt idx="32">
                  <c:v>88</c:v>
                </c:pt>
                <c:pt idx="33">
                  <c:v>90</c:v>
                </c:pt>
                <c:pt idx="34">
                  <c:v>95</c:v>
                </c:pt>
                <c:pt idx="35">
                  <c:v>95</c:v>
                </c:pt>
                <c:pt idx="36">
                  <c:v>100</c:v>
                </c:pt>
                <c:pt idx="37">
                  <c:v>105</c:v>
                </c:pt>
                <c:pt idx="38">
                  <c:v>110</c:v>
                </c:pt>
                <c:pt idx="39">
                  <c:v>105</c:v>
                </c:pt>
                <c:pt idx="40">
                  <c:v>115</c:v>
                </c:pt>
                <c:pt idx="41">
                  <c:v>120</c:v>
                </c:pt>
                <c:pt idx="42">
                  <c:v>130</c:v>
                </c:pt>
                <c:pt idx="43">
                  <c:v>135</c:v>
                </c:pt>
                <c:pt idx="44">
                  <c:v>140</c:v>
                </c:pt>
                <c:pt idx="45">
                  <c:v>140</c:v>
                </c:pt>
                <c:pt idx="46">
                  <c:v>150</c:v>
                </c:pt>
                <c:pt idx="47">
                  <c:v>150</c:v>
                </c:pt>
                <c:pt idx="48">
                  <c:v>135</c:v>
                </c:pt>
                <c:pt idx="49">
                  <c:v>170</c:v>
                </c:pt>
                <c:pt idx="50">
                  <c:v>170</c:v>
                </c:pt>
                <c:pt idx="51">
                  <c:v>170</c:v>
                </c:pt>
                <c:pt idx="52">
                  <c:v>180</c:v>
                </c:pt>
                <c:pt idx="53">
                  <c:v>190</c:v>
                </c:pt>
                <c:pt idx="54">
                  <c:v>200</c:v>
                </c:pt>
                <c:pt idx="55">
                  <c:v>200</c:v>
                </c:pt>
                <c:pt idx="56">
                  <c:v>210</c:v>
                </c:pt>
                <c:pt idx="57">
                  <c:v>210</c:v>
                </c:pt>
                <c:pt idx="58">
                  <c:v>230</c:v>
                </c:pt>
                <c:pt idx="59">
                  <c:v>230</c:v>
                </c:pt>
                <c:pt idx="60">
                  <c:v>230</c:v>
                </c:pt>
                <c:pt idx="61">
                  <c:v>240</c:v>
                </c:pt>
                <c:pt idx="62">
                  <c:v>240</c:v>
                </c:pt>
                <c:pt idx="63">
                  <c:v>250</c:v>
                </c:pt>
                <c:pt idx="64">
                  <c:v>260</c:v>
                </c:pt>
                <c:pt idx="65">
                  <c:v>260</c:v>
                </c:pt>
                <c:pt idx="66">
                  <c:v>260</c:v>
                </c:pt>
                <c:pt idx="67">
                  <c:v>260</c:v>
                </c:pt>
                <c:pt idx="68">
                  <c:v>280</c:v>
                </c:pt>
                <c:pt idx="69">
                  <c:v>285</c:v>
                </c:pt>
                <c:pt idx="70">
                  <c:v>290</c:v>
                </c:pt>
                <c:pt idx="71">
                  <c:v>300</c:v>
                </c:pt>
                <c:pt idx="72">
                  <c:v>300</c:v>
                </c:pt>
                <c:pt idx="73">
                  <c:v>320</c:v>
                </c:pt>
                <c:pt idx="74">
                  <c:v>340</c:v>
                </c:pt>
                <c:pt idx="75">
                  <c:v>360</c:v>
                </c:pt>
                <c:pt idx="76">
                  <c:v>360</c:v>
                </c:pt>
                <c:pt idx="77">
                  <c:v>380</c:v>
                </c:pt>
              </c:numCache>
            </c:numRef>
          </c:yVal>
          <c:smooth val="1"/>
          <c:extLst>
            <c:ext xmlns:c16="http://schemas.microsoft.com/office/drawing/2014/chart" uri="{C3380CC4-5D6E-409C-BE32-E72D297353CC}">
              <c16:uniqueId val="{00000001-9571-4001-A8B5-7FB2B8F553C6}"/>
            </c:ext>
          </c:extLst>
        </c:ser>
        <c:dLbls>
          <c:showLegendKey val="0"/>
          <c:showVal val="0"/>
          <c:showCatName val="0"/>
          <c:showSerName val="0"/>
          <c:showPercent val="0"/>
          <c:showBubbleSize val="0"/>
        </c:dLbls>
        <c:axId val="877238873"/>
        <c:axId val="886230571"/>
      </c:scatterChart>
      <c:valAx>
        <c:axId val="87723887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lang="en-US" b="0">
                    <a:solidFill>
                      <a:srgbClr val="000000"/>
                    </a:solidFill>
                    <a:latin typeface="+mn-lt"/>
                  </a:rPr>
                  <a:t>Stamina Modifier</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zh-CN"/>
          </a:p>
        </c:txPr>
        <c:crossAx val="886230571"/>
        <c:crosses val="autoZero"/>
        <c:crossBetween val="midCat"/>
      </c:valAx>
      <c:valAx>
        <c:axId val="8862305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lang="en-US" b="0">
                    <a:solidFill>
                      <a:srgbClr val="000000"/>
                    </a:solidFill>
                    <a:latin typeface="+mn-lt"/>
                  </a:rPr>
                  <a:t>Durability</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endParaRPr lang="zh-CN"/>
          </a:p>
        </c:txPr>
        <c:crossAx val="877238873"/>
        <c:crosses val="autoZero"/>
        <c:crossBetween val="midCat"/>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autoTitleDeleted val="1"/>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solidFill>
              </a:ln>
            </c:spPr>
            <c:trendlineType val="linear"/>
            <c:dispRSqr val="0"/>
            <c:dispEq val="0"/>
          </c:trendline>
          <c:xVal>
            <c:numRef>
              <c:f>头盔!$D$2:$D$110</c:f>
              <c:numCache>
                <c:formatCode>General</c:formatCode>
                <c:ptCount val="10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-2</c:v>
                </c:pt>
                <c:pt idx="19">
                  <c:v>-2</c:v>
                </c:pt>
                <c:pt idx="20">
                  <c:v>0</c:v>
                </c:pt>
                <c:pt idx="21">
                  <c:v>-3</c:v>
                </c:pt>
                <c:pt idx="22">
                  <c:v>-2</c:v>
                </c:pt>
                <c:pt idx="23">
                  <c:v>-2</c:v>
                </c:pt>
                <c:pt idx="24">
                  <c:v>-3</c:v>
                </c:pt>
                <c:pt idx="25">
                  <c:v>-1</c:v>
                </c:pt>
                <c:pt idx="26">
                  <c:v>-3</c:v>
                </c:pt>
                <c:pt idx="27">
                  <c:v>-5</c:v>
                </c:pt>
                <c:pt idx="28">
                  <c:v>-3</c:v>
                </c:pt>
                <c:pt idx="29">
                  <c:v>-4</c:v>
                </c:pt>
                <c:pt idx="30">
                  <c:v>-4</c:v>
                </c:pt>
                <c:pt idx="31">
                  <c:v>-3</c:v>
                </c:pt>
                <c:pt idx="32">
                  <c:v>-3</c:v>
                </c:pt>
                <c:pt idx="33">
                  <c:v>-4</c:v>
                </c:pt>
                <c:pt idx="34">
                  <c:v>-5</c:v>
                </c:pt>
                <c:pt idx="35">
                  <c:v>-8</c:v>
                </c:pt>
                <c:pt idx="36">
                  <c:v>-4</c:v>
                </c:pt>
                <c:pt idx="37">
                  <c:v>-5</c:v>
                </c:pt>
                <c:pt idx="38">
                  <c:v>-5</c:v>
                </c:pt>
                <c:pt idx="39">
                  <c:v>-6</c:v>
                </c:pt>
                <c:pt idx="40">
                  <c:v>-5</c:v>
                </c:pt>
                <c:pt idx="41">
                  <c:v>-7</c:v>
                </c:pt>
                <c:pt idx="42">
                  <c:v>-5</c:v>
                </c:pt>
                <c:pt idx="43">
                  <c:v>-7</c:v>
                </c:pt>
                <c:pt idx="44">
                  <c:v>-6</c:v>
                </c:pt>
                <c:pt idx="45">
                  <c:v>-5</c:v>
                </c:pt>
                <c:pt idx="46">
                  <c:v>-6</c:v>
                </c:pt>
                <c:pt idx="47">
                  <c:v>-7</c:v>
                </c:pt>
                <c:pt idx="48">
                  <c:v>-7</c:v>
                </c:pt>
                <c:pt idx="49">
                  <c:v>-8</c:v>
                </c:pt>
                <c:pt idx="50">
                  <c:v>-6</c:v>
                </c:pt>
                <c:pt idx="51">
                  <c:v>-7</c:v>
                </c:pt>
                <c:pt idx="52">
                  <c:v>-8</c:v>
                </c:pt>
                <c:pt idx="53">
                  <c:v>-10</c:v>
                </c:pt>
                <c:pt idx="54">
                  <c:v>-7</c:v>
                </c:pt>
                <c:pt idx="55">
                  <c:v>-6</c:v>
                </c:pt>
                <c:pt idx="56">
                  <c:v>-7</c:v>
                </c:pt>
                <c:pt idx="57">
                  <c:v>-8</c:v>
                </c:pt>
                <c:pt idx="58">
                  <c:v>-9</c:v>
                </c:pt>
                <c:pt idx="59">
                  <c:v>-11</c:v>
                </c:pt>
                <c:pt idx="60">
                  <c:v>-7</c:v>
                </c:pt>
                <c:pt idx="61">
                  <c:v>-9</c:v>
                </c:pt>
                <c:pt idx="62">
                  <c:v>-7</c:v>
                </c:pt>
                <c:pt idx="63">
                  <c:v>-8</c:v>
                </c:pt>
                <c:pt idx="64">
                  <c:v>-15</c:v>
                </c:pt>
                <c:pt idx="65">
                  <c:v>-10</c:v>
                </c:pt>
                <c:pt idx="66">
                  <c:v>-9</c:v>
                </c:pt>
                <c:pt idx="67">
                  <c:v>-11</c:v>
                </c:pt>
                <c:pt idx="68">
                  <c:v>-13</c:v>
                </c:pt>
                <c:pt idx="69">
                  <c:v>-9</c:v>
                </c:pt>
                <c:pt idx="70">
                  <c:v>-18</c:v>
                </c:pt>
                <c:pt idx="71">
                  <c:v>-10</c:v>
                </c:pt>
                <c:pt idx="72">
                  <c:v>-11</c:v>
                </c:pt>
                <c:pt idx="73">
                  <c:v>-12</c:v>
                </c:pt>
                <c:pt idx="74">
                  <c:v>-12</c:v>
                </c:pt>
                <c:pt idx="75">
                  <c:v>-12</c:v>
                </c:pt>
                <c:pt idx="76">
                  <c:v>-13</c:v>
                </c:pt>
                <c:pt idx="77">
                  <c:v>-14</c:v>
                </c:pt>
                <c:pt idx="78">
                  <c:v>-12</c:v>
                </c:pt>
                <c:pt idx="79">
                  <c:v>-13</c:v>
                </c:pt>
                <c:pt idx="80">
                  <c:v>-15</c:v>
                </c:pt>
                <c:pt idx="81">
                  <c:v>-19</c:v>
                </c:pt>
                <c:pt idx="82">
                  <c:v>-19</c:v>
                </c:pt>
                <c:pt idx="83">
                  <c:v>-14</c:v>
                </c:pt>
                <c:pt idx="84">
                  <c:v>-15</c:v>
                </c:pt>
                <c:pt idx="85">
                  <c:v>-20</c:v>
                </c:pt>
                <c:pt idx="86">
                  <c:v>-14</c:v>
                </c:pt>
                <c:pt idx="87">
                  <c:v>-17</c:v>
                </c:pt>
                <c:pt idx="88">
                  <c:v>-23</c:v>
                </c:pt>
                <c:pt idx="89">
                  <c:v>-17</c:v>
                </c:pt>
                <c:pt idx="90">
                  <c:v>-22</c:v>
                </c:pt>
                <c:pt idx="91">
                  <c:v>-15</c:v>
                </c:pt>
                <c:pt idx="92">
                  <c:v>-17</c:v>
                </c:pt>
                <c:pt idx="93">
                  <c:v>-18</c:v>
                </c:pt>
                <c:pt idx="94">
                  <c:v>-18</c:v>
                </c:pt>
                <c:pt idx="95">
                  <c:v>-17</c:v>
                </c:pt>
                <c:pt idx="96">
                  <c:v>-18</c:v>
                </c:pt>
                <c:pt idx="97">
                  <c:v>-19</c:v>
                </c:pt>
                <c:pt idx="98">
                  <c:v>-18</c:v>
                </c:pt>
                <c:pt idx="99">
                  <c:v>-19</c:v>
                </c:pt>
                <c:pt idx="100">
                  <c:v>-20</c:v>
                </c:pt>
                <c:pt idx="101">
                  <c:v>-18</c:v>
                </c:pt>
                <c:pt idx="102">
                  <c:v>-20</c:v>
                </c:pt>
                <c:pt idx="103">
                  <c:v>-19</c:v>
                </c:pt>
                <c:pt idx="104">
                  <c:v>-20</c:v>
                </c:pt>
                <c:pt idx="105">
                  <c:v>-21</c:v>
                </c:pt>
                <c:pt idx="106">
                  <c:v>-21</c:v>
                </c:pt>
                <c:pt idx="107">
                  <c:v>-22</c:v>
                </c:pt>
                <c:pt idx="108">
                  <c:v>-26</c:v>
                </c:pt>
              </c:numCache>
            </c:numRef>
          </c:xVal>
          <c:yVal>
            <c:numRef>
              <c:f>头盔!$C$2:$C$110</c:f>
              <c:numCache>
                <c:formatCode>General</c:formatCode>
                <c:ptCount val="109"/>
                <c:pt idx="0">
                  <c:v>10</c:v>
                </c:pt>
                <c:pt idx="1">
                  <c:v>20</c:v>
                </c:pt>
                <c:pt idx="2">
                  <c:v>30</c:v>
                </c:pt>
                <c:pt idx="3">
                  <c:v>30</c:v>
                </c:pt>
                <c:pt idx="4">
                  <c:v>30</c:v>
                </c:pt>
                <c:pt idx="5">
                  <c:v>30</c:v>
                </c:pt>
                <c:pt idx="6">
                  <c:v>30</c:v>
                </c:pt>
                <c:pt idx="7">
                  <c:v>30</c:v>
                </c:pt>
                <c:pt idx="8">
                  <c:v>30</c:v>
                </c:pt>
                <c:pt idx="9">
                  <c:v>30</c:v>
                </c:pt>
                <c:pt idx="10">
                  <c:v>30</c:v>
                </c:pt>
                <c:pt idx="11">
                  <c:v>30</c:v>
                </c:pt>
                <c:pt idx="12">
                  <c:v>30</c:v>
                </c:pt>
                <c:pt idx="13">
                  <c:v>40</c:v>
                </c:pt>
                <c:pt idx="14">
                  <c:v>40</c:v>
                </c:pt>
                <c:pt idx="15">
                  <c:v>40</c:v>
                </c:pt>
                <c:pt idx="16">
                  <c:v>40</c:v>
                </c:pt>
                <c:pt idx="17">
                  <c:v>40</c:v>
                </c:pt>
                <c:pt idx="18">
                  <c:v>40</c:v>
                </c:pt>
                <c:pt idx="19">
                  <c:v>40</c:v>
                </c:pt>
                <c:pt idx="20">
                  <c:v>45</c:v>
                </c:pt>
                <c:pt idx="21">
                  <c:v>45</c:v>
                </c:pt>
                <c:pt idx="22">
                  <c:v>50</c:v>
                </c:pt>
                <c:pt idx="23">
                  <c:v>50</c:v>
                </c:pt>
                <c:pt idx="24">
                  <c:v>50</c:v>
                </c:pt>
                <c:pt idx="25">
                  <c:v>60</c:v>
                </c:pt>
                <c:pt idx="26">
                  <c:v>60</c:v>
                </c:pt>
                <c:pt idx="27">
                  <c:v>60</c:v>
                </c:pt>
                <c:pt idx="28">
                  <c:v>70</c:v>
                </c:pt>
                <c:pt idx="29">
                  <c:v>70</c:v>
                </c:pt>
                <c:pt idx="30">
                  <c:v>80</c:v>
                </c:pt>
                <c:pt idx="31">
                  <c:v>75</c:v>
                </c:pt>
                <c:pt idx="32">
                  <c:v>90</c:v>
                </c:pt>
                <c:pt idx="33">
                  <c:v>90</c:v>
                </c:pt>
                <c:pt idx="34">
                  <c:v>90</c:v>
                </c:pt>
                <c:pt idx="35">
                  <c:v>95</c:v>
                </c:pt>
                <c:pt idx="36">
                  <c:v>100</c:v>
                </c:pt>
                <c:pt idx="37">
                  <c:v>105</c:v>
                </c:pt>
                <c:pt idx="38">
                  <c:v>105</c:v>
                </c:pt>
                <c:pt idx="39">
                  <c:v>105</c:v>
                </c:pt>
                <c:pt idx="40">
                  <c:v>110</c:v>
                </c:pt>
                <c:pt idx="41">
                  <c:v>110</c:v>
                </c:pt>
                <c:pt idx="42">
                  <c:v>115</c:v>
                </c:pt>
                <c:pt idx="43">
                  <c:v>115</c:v>
                </c:pt>
                <c:pt idx="44">
                  <c:v>115</c:v>
                </c:pt>
                <c:pt idx="45">
                  <c:v>125</c:v>
                </c:pt>
                <c:pt idx="46">
                  <c:v>125</c:v>
                </c:pt>
                <c:pt idx="47">
                  <c:v>125</c:v>
                </c:pt>
                <c:pt idx="48">
                  <c:v>125</c:v>
                </c:pt>
                <c:pt idx="49">
                  <c:v>125</c:v>
                </c:pt>
                <c:pt idx="50">
                  <c:v>130</c:v>
                </c:pt>
                <c:pt idx="51">
                  <c:v>130</c:v>
                </c:pt>
                <c:pt idx="52">
                  <c:v>130</c:v>
                </c:pt>
                <c:pt idx="53">
                  <c:v>130</c:v>
                </c:pt>
                <c:pt idx="54">
                  <c:v>135</c:v>
                </c:pt>
                <c:pt idx="55">
                  <c:v>140</c:v>
                </c:pt>
                <c:pt idx="56">
                  <c:v>140</c:v>
                </c:pt>
                <c:pt idx="57">
                  <c:v>140</c:v>
                </c:pt>
                <c:pt idx="58">
                  <c:v>140</c:v>
                </c:pt>
                <c:pt idx="59">
                  <c:v>145</c:v>
                </c:pt>
                <c:pt idx="60">
                  <c:v>150</c:v>
                </c:pt>
                <c:pt idx="61">
                  <c:v>150</c:v>
                </c:pt>
                <c:pt idx="62">
                  <c:v>160</c:v>
                </c:pt>
                <c:pt idx="63">
                  <c:v>160</c:v>
                </c:pt>
                <c:pt idx="64">
                  <c:v>160</c:v>
                </c:pt>
                <c:pt idx="65">
                  <c:v>170</c:v>
                </c:pt>
                <c:pt idx="66">
                  <c:v>180</c:v>
                </c:pt>
                <c:pt idx="67">
                  <c:v>180</c:v>
                </c:pt>
                <c:pt idx="68">
                  <c:v>180</c:v>
                </c:pt>
                <c:pt idx="69">
                  <c:v>190</c:v>
                </c:pt>
                <c:pt idx="70">
                  <c:v>190</c:v>
                </c:pt>
                <c:pt idx="71">
                  <c:v>200</c:v>
                </c:pt>
                <c:pt idx="72">
                  <c:v>200</c:v>
                </c:pt>
                <c:pt idx="73">
                  <c:v>200</c:v>
                </c:pt>
                <c:pt idx="74">
                  <c:v>200</c:v>
                </c:pt>
                <c:pt idx="75">
                  <c:v>210</c:v>
                </c:pt>
                <c:pt idx="76">
                  <c:v>210</c:v>
                </c:pt>
                <c:pt idx="77">
                  <c:v>215</c:v>
                </c:pt>
                <c:pt idx="78">
                  <c:v>220</c:v>
                </c:pt>
                <c:pt idx="79">
                  <c:v>230</c:v>
                </c:pt>
                <c:pt idx="80">
                  <c:v>230</c:v>
                </c:pt>
                <c:pt idx="81">
                  <c:v>230</c:v>
                </c:pt>
                <c:pt idx="82">
                  <c:v>230</c:v>
                </c:pt>
                <c:pt idx="83">
                  <c:v>240</c:v>
                </c:pt>
                <c:pt idx="84">
                  <c:v>240</c:v>
                </c:pt>
                <c:pt idx="85">
                  <c:v>240</c:v>
                </c:pt>
                <c:pt idx="86">
                  <c:v>245</c:v>
                </c:pt>
                <c:pt idx="87">
                  <c:v>250</c:v>
                </c:pt>
                <c:pt idx="88">
                  <c:v>250</c:v>
                </c:pt>
                <c:pt idx="89">
                  <c:v>255</c:v>
                </c:pt>
                <c:pt idx="90">
                  <c:v>255</c:v>
                </c:pt>
                <c:pt idx="91">
                  <c:v>260</c:v>
                </c:pt>
                <c:pt idx="92">
                  <c:v>260</c:v>
                </c:pt>
                <c:pt idx="93">
                  <c:v>265</c:v>
                </c:pt>
                <c:pt idx="94">
                  <c:v>270</c:v>
                </c:pt>
                <c:pt idx="95">
                  <c:v>275</c:v>
                </c:pt>
                <c:pt idx="96">
                  <c:v>275</c:v>
                </c:pt>
                <c:pt idx="97">
                  <c:v>280</c:v>
                </c:pt>
                <c:pt idx="98">
                  <c:v>290</c:v>
                </c:pt>
                <c:pt idx="99">
                  <c:v>290</c:v>
                </c:pt>
                <c:pt idx="100">
                  <c:v>290</c:v>
                </c:pt>
                <c:pt idx="101">
                  <c:v>300</c:v>
                </c:pt>
                <c:pt idx="102">
                  <c:v>300</c:v>
                </c:pt>
                <c:pt idx="103">
                  <c:v>300</c:v>
                </c:pt>
                <c:pt idx="104">
                  <c:v>315</c:v>
                </c:pt>
                <c:pt idx="105">
                  <c:v>320</c:v>
                </c:pt>
                <c:pt idx="106">
                  <c:v>330</c:v>
                </c:pt>
                <c:pt idx="107">
                  <c:v>340</c:v>
                </c:pt>
                <c:pt idx="108">
                  <c:v>360</c:v>
                </c:pt>
              </c:numCache>
            </c:numRef>
          </c:yVal>
          <c:smooth val="1"/>
          <c:extLst>
            <c:ext xmlns:c16="http://schemas.microsoft.com/office/drawing/2014/chart" uri="{C3380CC4-5D6E-409C-BE32-E72D297353CC}">
              <c16:uniqueId val="{00000001-1EF4-48C8-9814-F271A5B1F7E0}"/>
            </c:ext>
          </c:extLst>
        </c:ser>
        <c:dLbls>
          <c:showLegendKey val="0"/>
          <c:showVal val="0"/>
          <c:showCatName val="0"/>
          <c:showSerName val="0"/>
          <c:showPercent val="0"/>
          <c:showBubbleSize val="0"/>
        </c:dLbls>
        <c:axId val="1775529605"/>
        <c:axId val="1205814655"/>
      </c:scatterChart>
      <c:valAx>
        <c:axId val="17755296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zh-CN" altLang="en-US"/>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zh-CN"/>
          </a:p>
        </c:txPr>
        <c:crossAx val="1205814655"/>
        <c:crosses val="autoZero"/>
        <c:crossBetween val="midCat"/>
      </c:valAx>
      <c:valAx>
        <c:axId val="12058146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zh-CN" altLang="en-US"/>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zh-CN"/>
          </a:p>
        </c:txPr>
        <c:crossAx val="1775529605"/>
        <c:crosses val="autoZero"/>
        <c:crossBetween val="midCat"/>
      </c:valAx>
    </c:plotArea>
    <c:legend>
      <c:legendPos val="r"/>
      <c:overlay val="0"/>
      <c:txPr>
        <a:bodyPr/>
        <a:lstStyle/>
        <a:p>
          <a:pPr lvl="0">
            <a:defRPr b="0">
              <a:solidFill>
                <a:srgbClr val="1A1A1A"/>
              </a:solidFill>
              <a:latin typeface="+mn-lt"/>
            </a:defRPr>
          </a:pPr>
          <a:endParaRPr lang="zh-CN"/>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7</xdr:col>
      <xdr:colOff>990600</xdr:colOff>
      <xdr:row>4</xdr:row>
      <xdr:rowOff>228600</xdr:rowOff>
    </xdr:from>
    <xdr:ext cx="4829175" cy="2231543"/>
    <xdr:sp macro="" textlink="">
      <xdr:nvSpPr>
        <xdr:cNvPr id="3" name="Shape 3">
          <a:extLst>
            <a:ext uri="{FF2B5EF4-FFF2-40B4-BE49-F238E27FC236}">
              <a16:creationId xmlns:a16="http://schemas.microsoft.com/office/drawing/2014/main" id="{00000000-0008-0000-0200-000003000000}"/>
            </a:ext>
          </a:extLst>
        </xdr:cNvPr>
        <xdr:cNvSpPr txBox="1"/>
      </xdr:nvSpPr>
      <xdr:spPr>
        <a:xfrm>
          <a:off x="11972925" y="1504950"/>
          <a:ext cx="4829175" cy="2231543"/>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spAutoFit/>
        </a:bodyPr>
        <a:lstStyle/>
        <a:p>
          <a:pPr marL="0" lvl="0" indent="0" algn="l" rtl="0">
            <a:spcBef>
              <a:spcPts val="0"/>
            </a:spcBef>
            <a:spcAft>
              <a:spcPts val="0"/>
            </a:spcAft>
            <a:buNone/>
          </a:pPr>
          <a:r>
            <a:rPr lang="zh-CN" altLang="en-US" sz="1200">
              <a:latin typeface="华文中宋" panose="02010600040101010101" pitchFamily="2" charset="-122"/>
              <a:ea typeface="华文中宋" panose="02010600040101010101" pitchFamily="2" charset="-122"/>
            </a:rPr>
            <a:t>在动态特技树生成系统中</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一些特技组会因背景而直接授予，但大多数是通过</a:t>
          </a:r>
          <a:r>
            <a:rPr lang="zh-CN" altLang="en-US" sz="1200" b="1">
              <a:latin typeface="华文中宋" panose="02010600040101010101" pitchFamily="2" charset="-122"/>
              <a:ea typeface="华文中宋" panose="02010600040101010101" pitchFamily="2" charset="-122"/>
            </a:rPr>
            <a:t>加权随机</a:t>
          </a:r>
          <a:r>
            <a:rPr lang="zh-CN" altLang="en-US" sz="1200">
              <a:latin typeface="华文中宋" panose="02010600040101010101" pitchFamily="2" charset="-122"/>
              <a:ea typeface="华文中宋" panose="02010600040101010101" pitchFamily="2" charset="-122"/>
            </a:rPr>
            <a:t>倍率分配给角色。许多因子会影响这些倍率，包括背景类型</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近战</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远程</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天赋星星</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级数递增</a:t>
          </a:r>
          <a:r>
            <a:rPr lang="en-US" altLang="zh-CN"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即</a:t>
          </a:r>
          <a:r>
            <a:rPr lang="en-US" altLang="zh-CN" sz="1200">
              <a:latin typeface="华文中宋" panose="02010600040101010101" pitchFamily="2" charset="-122"/>
              <a:ea typeface="华文中宋" panose="02010600040101010101" pitchFamily="2" charset="-122"/>
            </a:rPr>
            <a:t>2</a:t>
          </a:r>
          <a:r>
            <a:rPr lang="zh-CN" altLang="en-US" sz="1200">
              <a:latin typeface="华文中宋" panose="02010600040101010101" pitchFamily="2" charset="-122"/>
              <a:ea typeface="华文中宋" panose="02010600040101010101" pitchFamily="2" charset="-122"/>
            </a:rPr>
            <a:t>星平方</a:t>
          </a:r>
          <a:r>
            <a:rPr lang="en-US" altLang="zh-CN" sz="1200">
              <a:latin typeface="华文中宋" panose="02010600040101010101" pitchFamily="2" charset="-122"/>
              <a:ea typeface="华文中宋" panose="02010600040101010101" pitchFamily="2" charset="-122"/>
            </a:rPr>
            <a:t>3</a:t>
          </a:r>
          <a:r>
            <a:rPr lang="zh-CN" altLang="en-US" sz="1200">
              <a:latin typeface="华文中宋" panose="02010600040101010101" pitchFamily="2" charset="-122"/>
              <a:ea typeface="华文中宋" panose="02010600040101010101" pitchFamily="2" charset="-122"/>
            </a:rPr>
            <a:t>星立方</a:t>
          </a:r>
          <a:r>
            <a:rPr lang="en-US" altLang="zh-CN" sz="1200">
              <a:latin typeface="华文中宋" panose="02010600040101010101" pitchFamily="2" charset="-122"/>
              <a:ea typeface="华文中宋" panose="02010600040101010101" pitchFamily="2" charset="-122"/>
            </a:rPr>
            <a:t>)</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角色特性乃至特技树生成过程中先被授予的特技组。标准的特技树生成过程中，角色被授予特技组时遵循以下</a:t>
          </a:r>
          <a:r>
            <a:rPr lang="zh-CN" altLang="en-US" sz="1200" b="1">
              <a:latin typeface="华文中宋" panose="02010600040101010101" pitchFamily="2" charset="-122"/>
              <a:ea typeface="华文中宋" panose="02010600040101010101" pitchFamily="2" charset="-122"/>
            </a:rPr>
            <a:t>顺序</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通用</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背景</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特性（共享）</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武器</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护甲</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战斗风格</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特殊。</a:t>
          </a:r>
          <a:endParaRPr sz="1200" b="1">
            <a:latin typeface="华文中宋" panose="02010600040101010101" pitchFamily="2" charset="-122"/>
            <a:ea typeface="华文中宋" panose="02010600040101010101" pitchFamily="2" charset="-122"/>
          </a:endParaRPr>
        </a:p>
        <a:p>
          <a:pPr marL="0" lvl="0" indent="0" algn="ctr" rtl="0">
            <a:spcBef>
              <a:spcPts val="0"/>
            </a:spcBef>
            <a:spcAft>
              <a:spcPts val="0"/>
            </a:spcAft>
            <a:buNone/>
          </a:pPr>
          <a:r>
            <a:rPr lang="zh-CN" altLang="en-US" sz="1200" b="1">
              <a:latin typeface="华文中宋" panose="02010600040101010101" pitchFamily="2" charset="-122"/>
              <a:ea typeface="华文中宋" panose="02010600040101010101" pitchFamily="2" charset="-122"/>
            </a:rPr>
            <a:t>倍率类型</a:t>
          </a:r>
          <a:endParaRPr sz="1200" b="1">
            <a:latin typeface="华文中宋" panose="02010600040101010101" pitchFamily="2" charset="-122"/>
            <a:ea typeface="华文中宋" panose="02010600040101010101" pitchFamily="2" charset="-122"/>
          </a:endParaRPr>
        </a:p>
        <a:p>
          <a:pPr marL="0" lvl="0" indent="0" algn="l" rtl="0">
            <a:spcBef>
              <a:spcPts val="0"/>
            </a:spcBef>
            <a:spcAft>
              <a:spcPts val="0"/>
            </a:spcAft>
            <a:buNone/>
          </a:pPr>
          <a:r>
            <a:rPr lang="zh-CN" altLang="en-US" sz="1200" b="1">
              <a:latin typeface="华文中宋" panose="02010600040101010101" pitchFamily="2" charset="-122"/>
              <a:ea typeface="华文中宋" panose="02010600040101010101" pitchFamily="2" charset="-122"/>
            </a:rPr>
            <a:t>自身加权</a:t>
          </a:r>
          <a:r>
            <a:rPr lang="en-US" sz="1200" b="1">
              <a:latin typeface="华文中宋" panose="02010600040101010101" pitchFamily="2" charset="-122"/>
              <a:ea typeface="华文中宋" panose="02010600040101010101" pitchFamily="2" charset="-122"/>
            </a:rPr>
            <a:t>:</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人为设定对比同一类别中其他组出现的可能性。</a:t>
          </a:r>
          <a:endParaRPr sz="1200">
            <a:latin typeface="华文中宋" panose="02010600040101010101" pitchFamily="2" charset="-122"/>
            <a:ea typeface="华文中宋" panose="02010600040101010101" pitchFamily="2" charset="-122"/>
          </a:endParaRPr>
        </a:p>
        <a:p>
          <a:pPr marL="0" lvl="0" indent="0" algn="l" rtl="0">
            <a:spcBef>
              <a:spcPts val="0"/>
            </a:spcBef>
            <a:spcAft>
              <a:spcPts val="0"/>
            </a:spcAft>
            <a:buNone/>
          </a:pPr>
          <a:r>
            <a:rPr lang="zh-CN" altLang="en-US" sz="1200" b="1">
              <a:latin typeface="华文中宋" panose="02010600040101010101" pitchFamily="2" charset="-122"/>
              <a:ea typeface="华文中宋" panose="02010600040101010101" pitchFamily="2" charset="-122"/>
            </a:rPr>
            <a:t>对其他加权</a:t>
          </a:r>
          <a:r>
            <a:rPr lang="en-US" sz="1200" b="1">
              <a:latin typeface="华文中宋" panose="02010600040101010101" pitchFamily="2" charset="-122"/>
              <a:ea typeface="华文中宋" panose="02010600040101010101" pitchFamily="2" charset="-122"/>
            </a:rPr>
            <a:t>:</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获得该组后，该角色有多可能获得或者不获得其他某组。</a:t>
          </a:r>
          <a:endParaRPr sz="1200">
            <a:latin typeface="华文中宋" panose="02010600040101010101" pitchFamily="2" charset="-122"/>
            <a:ea typeface="华文中宋" panose="02010600040101010101" pitchFamily="2" charset="-122"/>
          </a:endParaRPr>
        </a:p>
      </xdr:txBody>
    </xdr:sp>
    <xdr:clientData fLocksWithSheet="0"/>
  </xdr:oneCellAnchor>
  <xdr:oneCellAnchor>
    <xdr:from>
      <xdr:col>7</xdr:col>
      <xdr:colOff>619125</xdr:colOff>
      <xdr:row>7</xdr:row>
      <xdr:rowOff>485775</xdr:rowOff>
    </xdr:from>
    <xdr:ext cx="5572125" cy="7670980"/>
    <xdr:sp macro="" textlink="">
      <xdr:nvSpPr>
        <xdr:cNvPr id="4" name="Shape 4">
          <a:extLst>
            <a:ext uri="{FF2B5EF4-FFF2-40B4-BE49-F238E27FC236}">
              <a16:creationId xmlns:a16="http://schemas.microsoft.com/office/drawing/2014/main" id="{00000000-0008-0000-0200-000004000000}"/>
            </a:ext>
          </a:extLst>
        </xdr:cNvPr>
        <xdr:cNvSpPr txBox="1"/>
      </xdr:nvSpPr>
      <xdr:spPr>
        <a:xfrm>
          <a:off x="11601450" y="5572125"/>
          <a:ext cx="5572125" cy="767098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spAutoFit/>
        </a:bodyPr>
        <a:lstStyle/>
        <a:p>
          <a:pPr marL="0" lvl="0" indent="0" algn="l" rtl="0">
            <a:spcBef>
              <a:spcPts val="0"/>
            </a:spcBef>
            <a:spcAft>
              <a:spcPts val="0"/>
            </a:spcAft>
            <a:buNone/>
          </a:pPr>
          <a:r>
            <a:rPr lang="zh-CN" altLang="en-US" sz="1200" b="1">
              <a:latin typeface="华文中宋" panose="02010600040101010101" pitchFamily="2" charset="-122"/>
              <a:ea typeface="华文中宋" panose="02010600040101010101" pitchFamily="2" charset="-122"/>
            </a:rPr>
            <a:t>流程</a:t>
          </a:r>
          <a:r>
            <a:rPr lang="en-US" sz="1200" b="1">
              <a:latin typeface="华文中宋" panose="02010600040101010101" pitchFamily="2" charset="-122"/>
              <a:ea typeface="华文中宋" panose="02010600040101010101" pitchFamily="2" charset="-122"/>
            </a:rPr>
            <a:t>:</a:t>
          </a:r>
          <a:endParaRPr sz="1200" b="1">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授予过程会从一套根据背景必定会获得的特技组开始。特定背景独有的特技组只会通过这一过程授予。</a:t>
          </a:r>
          <a:endParaRPr sz="1200" b="1">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此后，角色会被分配其他填满其特技树需要的的特技组。默认情况下，这按次序共包括了通用特技组，</a:t>
          </a:r>
          <a:r>
            <a:rPr lang="en-US" altLang="zh-CN" sz="1200">
              <a:latin typeface="华文中宋" panose="02010600040101010101" pitchFamily="2" charset="-122"/>
              <a:ea typeface="华文中宋" panose="02010600040101010101" pitchFamily="2" charset="-122"/>
            </a:rPr>
            <a:t>2</a:t>
          </a:r>
          <a:r>
            <a:rPr lang="zh-CN" altLang="en-US" sz="1200">
              <a:latin typeface="华文中宋" panose="02010600040101010101" pitchFamily="2" charset="-122"/>
              <a:ea typeface="华文中宋" panose="02010600040101010101" pitchFamily="2" charset="-122"/>
            </a:rPr>
            <a:t>个特质特技组，</a:t>
          </a:r>
          <a:r>
            <a:rPr lang="en-US" altLang="zh-CN" sz="1200">
              <a:latin typeface="华文中宋" panose="02010600040101010101" pitchFamily="2" charset="-122"/>
              <a:ea typeface="华文中宋" panose="02010600040101010101" pitchFamily="2" charset="-122"/>
            </a:rPr>
            <a:t>3</a:t>
          </a:r>
          <a:r>
            <a:rPr lang="zh-CN" altLang="en-US" sz="1200">
              <a:latin typeface="华文中宋" panose="02010600040101010101" pitchFamily="2" charset="-122"/>
              <a:ea typeface="华文中宋" panose="02010600040101010101" pitchFamily="2" charset="-122"/>
            </a:rPr>
            <a:t>个武器特技组，</a:t>
          </a:r>
          <a:r>
            <a:rPr lang="en-US" altLang="zh-CN" sz="1200">
              <a:latin typeface="华文中宋" panose="02010600040101010101" pitchFamily="2" charset="-122"/>
              <a:ea typeface="华文中宋" panose="02010600040101010101" pitchFamily="2" charset="-122"/>
            </a:rPr>
            <a:t>2</a:t>
          </a:r>
          <a:r>
            <a:rPr lang="zh-CN" altLang="en-US" sz="1200">
              <a:latin typeface="华文中宋" panose="02010600040101010101" pitchFamily="2" charset="-122"/>
              <a:ea typeface="华文中宋" panose="02010600040101010101" pitchFamily="2" charset="-122"/>
            </a:rPr>
            <a:t>个护甲特技组和</a:t>
          </a:r>
          <a:r>
            <a:rPr lang="en-US" altLang="zh-CN" sz="1200">
              <a:latin typeface="华文中宋" panose="02010600040101010101" pitchFamily="2" charset="-122"/>
              <a:ea typeface="华文中宋" panose="02010600040101010101" pitchFamily="2" charset="-122"/>
            </a:rPr>
            <a:t>2</a:t>
          </a:r>
          <a:r>
            <a:rPr lang="zh-CN" altLang="en-US" sz="1200">
              <a:latin typeface="华文中宋" panose="02010600040101010101" pitchFamily="2" charset="-122"/>
              <a:ea typeface="华文中宋" panose="02010600040101010101" pitchFamily="2" charset="-122"/>
            </a:rPr>
            <a:t>个战斗风格特技组。一些背景会根据其专长（</a:t>
          </a:r>
          <a:r>
            <a:rPr lang="en-US" altLang="zh-CN" sz="1100">
              <a:effectLst/>
              <a:latin typeface="华文中宋" panose="02010600040101010101" pitchFamily="2" charset="-122"/>
              <a:ea typeface="华文中宋" panose="02010600040101010101" pitchFamily="2" charset="-122"/>
              <a:cs typeface="+mn-cs"/>
            </a:rPr>
            <a:t>expertise</a:t>
          </a:r>
          <a:r>
            <a:rPr lang="zh-CN" altLang="en-US" sz="1200">
              <a:latin typeface="华文中宋" panose="02010600040101010101" pitchFamily="2" charset="-122"/>
              <a:ea typeface="华文中宋" panose="02010600040101010101" pitchFamily="2" charset="-122"/>
            </a:rPr>
            <a:t>）获得更多或更少的某类特技组。</a:t>
          </a:r>
          <a:endParaRPr sz="1200">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特殊特技和特技组会在标准特技组分配结束后被掷骰骰出。</a:t>
          </a:r>
          <a:endParaRPr sz="1200">
            <a:latin typeface="华文中宋" panose="02010600040101010101" pitchFamily="2" charset="-122"/>
            <a:ea typeface="华文中宋" panose="02010600040101010101" pitchFamily="2" charset="-122"/>
          </a:endParaRPr>
        </a:p>
        <a:p>
          <a:pPr marL="0" lvl="0" indent="0" algn="l" rtl="0">
            <a:spcBef>
              <a:spcPts val="0"/>
            </a:spcBef>
            <a:spcAft>
              <a:spcPts val="0"/>
            </a:spcAft>
            <a:buNone/>
          </a:pPr>
          <a:endParaRPr sz="1200">
            <a:latin typeface="华文中宋" panose="02010600040101010101" pitchFamily="2" charset="-122"/>
            <a:ea typeface="华文中宋" panose="02010600040101010101" pitchFamily="2" charset="-122"/>
          </a:endParaRPr>
        </a:p>
        <a:p>
          <a:pPr marL="0" lvl="0" indent="0" algn="l" rtl="0">
            <a:spcBef>
              <a:spcPts val="0"/>
            </a:spcBef>
            <a:spcAft>
              <a:spcPts val="0"/>
            </a:spcAft>
            <a:buNone/>
          </a:pPr>
          <a:r>
            <a:rPr lang="zh-CN" altLang="en-US" sz="1200" b="1">
              <a:latin typeface="华文中宋" panose="02010600040101010101" pitchFamily="2" charset="-122"/>
              <a:ea typeface="华文中宋" panose="02010600040101010101" pitchFamily="2" charset="-122"/>
            </a:rPr>
            <a:t>特技树创建实例</a:t>
          </a:r>
          <a:r>
            <a:rPr lang="en-US" sz="1200" b="1">
              <a:latin typeface="华文中宋" panose="02010600040101010101" pitchFamily="2" charset="-122"/>
              <a:ea typeface="华文中宋" panose="02010600040101010101" pitchFamily="2" charset="-122"/>
            </a:rPr>
            <a:t>:</a:t>
          </a:r>
          <a:endParaRPr sz="1200" b="1">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设有一名名叫罗尔夫的屠夫，其天赋为</a:t>
          </a:r>
          <a:r>
            <a:rPr lang="en-US" sz="1200">
              <a:latin typeface="华文中宋" panose="02010600040101010101" pitchFamily="2" charset="-122"/>
              <a:ea typeface="华文中宋" panose="02010600040101010101" pitchFamily="2" charset="-122"/>
            </a:rPr>
            <a:t>(2</a:t>
          </a:r>
          <a:r>
            <a:rPr lang="zh-CN" altLang="en-US" sz="1200">
              <a:latin typeface="华文中宋" panose="02010600040101010101" pitchFamily="2" charset="-122"/>
              <a:ea typeface="华文中宋" panose="02010600040101010101" pitchFamily="2" charset="-122"/>
            </a:rPr>
            <a:t>星生命</a:t>
          </a:r>
          <a:r>
            <a:rPr lang="en-US" sz="1200">
              <a:latin typeface="华文中宋" panose="02010600040101010101" pitchFamily="2" charset="-122"/>
              <a:ea typeface="华文中宋" panose="02010600040101010101" pitchFamily="2" charset="-122"/>
            </a:rPr>
            <a:t>, 1</a:t>
          </a:r>
          <a:r>
            <a:rPr lang="zh-CN" altLang="en-US" sz="1200">
              <a:latin typeface="华文中宋" panose="02010600040101010101" pitchFamily="2" charset="-122"/>
              <a:ea typeface="华文中宋" panose="02010600040101010101" pitchFamily="2" charset="-122"/>
            </a:rPr>
            <a:t>星决心</a:t>
          </a:r>
          <a:r>
            <a:rPr lang="en-US" sz="1200">
              <a:latin typeface="华文中宋" panose="02010600040101010101" pitchFamily="2" charset="-122"/>
              <a:ea typeface="华文中宋" panose="02010600040101010101" pitchFamily="2" charset="-122"/>
            </a:rPr>
            <a:t>, 1</a:t>
          </a:r>
          <a:r>
            <a:rPr lang="zh-CN" altLang="en-US" sz="1200">
              <a:latin typeface="华文中宋" panose="02010600040101010101" pitchFamily="2" charset="-122"/>
              <a:ea typeface="华文中宋" panose="02010600040101010101" pitchFamily="2" charset="-122"/>
            </a:rPr>
            <a:t>星远程防御</a:t>
          </a:r>
          <a:r>
            <a:rPr lang="en-US" altLang="zh-CN"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，特性为</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聪明</a:t>
          </a:r>
          <a:r>
            <a:rPr lang="en-US" sz="1200">
              <a:latin typeface="华文中宋" panose="02010600040101010101" pitchFamily="2" charset="-122"/>
              <a:ea typeface="华文中宋" panose="02010600040101010101" pitchFamily="2" charset="-122"/>
            </a:rPr>
            <a:t>).</a:t>
          </a:r>
          <a:endParaRPr sz="1200">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开始时</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屠夫必定会获得劳工</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背景</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和砍刀</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武器</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特技组。作为一个非战斗背景，屠夫会比标准模型少骰一个护甲特技组。</a:t>
          </a:r>
          <a:endParaRPr sz="1200">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现在</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标准特技组生成开始。所有角色都会获得通用特技组，开始骰出</a:t>
          </a:r>
          <a:r>
            <a:rPr lang="zh-CN" altLang="en-US" sz="1200" b="1">
              <a:latin typeface="华文中宋" panose="02010600040101010101" pitchFamily="2" charset="-122"/>
              <a:ea typeface="华文中宋" panose="02010600040101010101" pitchFamily="2" charset="-122"/>
            </a:rPr>
            <a:t>特质类</a:t>
          </a:r>
          <a:r>
            <a:rPr lang="zh-CN" altLang="en-US" sz="1200">
              <a:latin typeface="华文中宋" panose="02010600040101010101" pitchFamily="2" charset="-122"/>
              <a:ea typeface="华文中宋" panose="02010600040101010101" pitchFamily="2" charset="-122"/>
            </a:rPr>
            <a:t>特技组。作为屠夫，罗尔夫获得凶狠特技组的倍率为</a:t>
          </a:r>
          <a:r>
            <a:rPr lang="en-US" altLang="zh-CN" sz="1200">
              <a:latin typeface="华文中宋" panose="02010600040101010101" pitchFamily="2" charset="-122"/>
              <a:ea typeface="华文中宋" panose="02010600040101010101" pitchFamily="2" charset="-122"/>
            </a:rPr>
            <a:t>3</a:t>
          </a:r>
          <a:r>
            <a:rPr lang="zh-CN" altLang="en-US" sz="1200">
              <a:latin typeface="华文中宋" panose="02010600040101010101" pitchFamily="2" charset="-122"/>
              <a:ea typeface="华文中宋" panose="02010600040101010101" pitchFamily="2" charset="-122"/>
            </a:rPr>
            <a:t>，而作为劳工，会有：坚韧</a:t>
          </a:r>
          <a:r>
            <a:rPr lang="en-US" altLang="zh-CN" sz="1200">
              <a:latin typeface="华文中宋" panose="02010600040101010101" pitchFamily="2" charset="-122"/>
              <a:ea typeface="华文中宋" panose="02010600040101010101" pitchFamily="2" charset="-122"/>
            </a:rPr>
            <a:t>1.5</a:t>
          </a:r>
          <a:r>
            <a:rPr lang="zh-CN" altLang="en-US" sz="1200">
              <a:latin typeface="华文中宋" panose="02010600040101010101" pitchFamily="2" charset="-122"/>
              <a:ea typeface="华文中宋" panose="02010600040101010101" pitchFamily="2" charset="-122"/>
            </a:rPr>
            <a:t>，毅力</a:t>
          </a:r>
          <a:r>
            <a:rPr lang="en-US" altLang="zh-CN" sz="1200">
              <a:latin typeface="华文中宋" panose="02010600040101010101" pitchFamily="2" charset="-122"/>
              <a:ea typeface="华文中宋" panose="02010600040101010101" pitchFamily="2" charset="-122"/>
            </a:rPr>
            <a:t>1.5</a:t>
          </a:r>
          <a:r>
            <a:rPr lang="zh-CN" altLang="en-US" sz="1200">
              <a:latin typeface="华文中宋" panose="02010600040101010101" pitchFamily="2" charset="-122"/>
              <a:ea typeface="华文中宋" panose="02010600040101010101" pitchFamily="2" charset="-122"/>
            </a:rPr>
            <a:t>。罗尔夫还会从天赋中获得</a:t>
          </a:r>
          <a:r>
            <a:rPr lang="zh-CN" altLang="en-US" sz="1200" b="1">
              <a:latin typeface="华文中宋" panose="02010600040101010101" pitchFamily="2" charset="-122"/>
              <a:ea typeface="华文中宋" panose="02010600040101010101" pitchFamily="2" charset="-122"/>
            </a:rPr>
            <a:t>特质组</a:t>
          </a:r>
          <a:r>
            <a:rPr lang="zh-CN" altLang="en-US" sz="1200">
              <a:latin typeface="华文中宋" panose="02010600040101010101" pitchFamily="2" charset="-122"/>
              <a:ea typeface="华文中宋" panose="02010600040101010101" pitchFamily="2" charset="-122"/>
            </a:rPr>
            <a:t>倍率：生命值</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坚韧</a:t>
          </a:r>
          <a:r>
            <a:rPr lang="en-US" sz="1200">
              <a:latin typeface="华文中宋" panose="02010600040101010101" pitchFamily="2" charset="-122"/>
              <a:ea typeface="华文中宋" panose="02010600040101010101" pitchFamily="2" charset="-122"/>
            </a:rPr>
            <a:t>1.2 x 1.2), </a:t>
          </a:r>
          <a:r>
            <a:rPr lang="zh-CN" altLang="en-US" sz="1200">
              <a:latin typeface="华文中宋" panose="02010600040101010101" pitchFamily="2" charset="-122"/>
              <a:ea typeface="华文中宋" panose="02010600040101010101" pitchFamily="2" charset="-122"/>
            </a:rPr>
            <a:t>远程防御</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灵活</a:t>
          </a:r>
          <a:r>
            <a:rPr lang="en-US" sz="1200">
              <a:latin typeface="华文中宋" panose="02010600040101010101" pitchFamily="2" charset="-122"/>
              <a:ea typeface="华文中宋" panose="02010600040101010101" pitchFamily="2" charset="-122"/>
            </a:rPr>
            <a:t> 1.2). </a:t>
          </a:r>
          <a:r>
            <a:rPr lang="zh-CN" altLang="en-US" sz="1200">
              <a:latin typeface="华文中宋" panose="02010600040101010101" pitchFamily="2" charset="-122"/>
              <a:ea typeface="华文中宋" panose="02010600040101010101" pitchFamily="2" charset="-122"/>
            </a:rPr>
            <a:t>这意味着在特质组的掷骰中</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罗尔夫获得坚韧组的倍率为</a:t>
          </a:r>
          <a:r>
            <a:rPr lang="en-US" sz="1200">
              <a:latin typeface="华文中宋" panose="02010600040101010101" pitchFamily="2" charset="-122"/>
              <a:ea typeface="华文中宋" panose="02010600040101010101" pitchFamily="2" charset="-122"/>
            </a:rPr>
            <a:t>2.16x (1.5 x 1.2 x 1.2) , </a:t>
          </a:r>
          <a:r>
            <a:rPr lang="zh-CN" altLang="en-US" sz="1200">
              <a:latin typeface="华文中宋" panose="02010600040101010101" pitchFamily="2" charset="-122"/>
              <a:ea typeface="华文中宋" panose="02010600040101010101" pitchFamily="2" charset="-122"/>
            </a:rPr>
            <a:t>获得凶狠组的倍率为</a:t>
          </a:r>
          <a:r>
            <a:rPr lang="en-US" sz="1200">
              <a:latin typeface="华文中宋" panose="02010600040101010101" pitchFamily="2" charset="-122"/>
              <a:ea typeface="华文中宋" panose="02010600040101010101" pitchFamily="2" charset="-122"/>
            </a:rPr>
            <a:t>3x </a:t>
          </a:r>
          <a:r>
            <a:rPr lang="zh-CN" altLang="en-US" sz="1200">
              <a:latin typeface="华文中宋" panose="02010600040101010101" pitchFamily="2" charset="-122"/>
              <a:ea typeface="华文中宋" panose="02010600040101010101" pitchFamily="2" charset="-122"/>
            </a:rPr>
            <a:t>，</a:t>
          </a:r>
          <a:r>
            <a:rPr lang="zh-CN" altLang="zh-CN" sz="1100">
              <a:effectLst/>
              <a:latin typeface="华文中宋" panose="02010600040101010101" pitchFamily="2" charset="-122"/>
              <a:ea typeface="华文中宋" panose="02010600040101010101" pitchFamily="2" charset="-122"/>
              <a:cs typeface="+mn-cs"/>
            </a:rPr>
            <a:t>毅</a:t>
          </a:r>
          <a:r>
            <a:rPr lang="zh-CN" altLang="en-US" sz="1100">
              <a:effectLst/>
              <a:latin typeface="华文中宋" panose="02010600040101010101" pitchFamily="2" charset="-122"/>
              <a:ea typeface="华文中宋" panose="02010600040101010101" pitchFamily="2" charset="-122"/>
              <a:cs typeface="+mn-cs"/>
            </a:rPr>
            <a:t>力</a:t>
          </a:r>
          <a:r>
            <a:rPr lang="zh-CN" altLang="zh-CN" sz="1100">
              <a:effectLst/>
              <a:latin typeface="华文中宋" panose="02010600040101010101" pitchFamily="2" charset="-122"/>
              <a:ea typeface="华文中宋" panose="02010600040101010101" pitchFamily="2" charset="-122"/>
              <a:cs typeface="+mn-cs"/>
            </a:rPr>
            <a:t>组的倍率为力</a:t>
          </a:r>
          <a:r>
            <a:rPr lang="en-US" sz="1200">
              <a:latin typeface="华文中宋" panose="02010600040101010101" pitchFamily="2" charset="-122"/>
              <a:ea typeface="华文中宋" panose="02010600040101010101" pitchFamily="2" charset="-122"/>
            </a:rPr>
            <a:t>1.5x</a:t>
          </a:r>
          <a:r>
            <a:rPr lang="zh-CN" altLang="en-US" sz="1200">
              <a:latin typeface="华文中宋" panose="02010600040101010101" pitchFamily="2" charset="-122"/>
              <a:ea typeface="华文中宋" panose="02010600040101010101" pitchFamily="2" charset="-122"/>
            </a:rPr>
            <a:t>，</a:t>
          </a:r>
          <a:r>
            <a:rPr lang="zh-CN" altLang="en-US" sz="1100">
              <a:effectLst/>
              <a:latin typeface="华文中宋" panose="02010600040101010101" pitchFamily="2" charset="-122"/>
              <a:ea typeface="华文中宋" panose="02010600040101010101" pitchFamily="2" charset="-122"/>
              <a:cs typeface="+mn-cs"/>
            </a:rPr>
            <a:t>灵活</a:t>
          </a:r>
          <a:r>
            <a:rPr lang="zh-CN" altLang="zh-CN" sz="1100">
              <a:effectLst/>
              <a:latin typeface="华文中宋" panose="02010600040101010101" pitchFamily="2" charset="-122"/>
              <a:ea typeface="华文中宋" panose="02010600040101010101" pitchFamily="2" charset="-122"/>
              <a:cs typeface="+mn-cs"/>
            </a:rPr>
            <a:t>组的倍率为</a:t>
          </a:r>
          <a:r>
            <a:rPr lang="en-US" sz="1200">
              <a:latin typeface="华文中宋" panose="02010600040101010101" pitchFamily="2" charset="-122"/>
              <a:ea typeface="华文中宋" panose="02010600040101010101" pitchFamily="2" charset="-122"/>
            </a:rPr>
            <a:t>1.2x</a:t>
          </a:r>
          <a:r>
            <a:rPr lang="zh-CN" altLang="en-US" sz="1200">
              <a:latin typeface="华文中宋" panose="02010600040101010101" pitchFamily="2" charset="-122"/>
              <a:ea typeface="华文中宋" panose="02010600040101010101" pitchFamily="2" charset="-122"/>
            </a:rPr>
            <a:t>。罗尔夫会骰出标准模型的</a:t>
          </a:r>
          <a:r>
            <a:rPr lang="en-US" altLang="zh-CN" sz="1200">
              <a:latin typeface="华文中宋" panose="02010600040101010101" pitchFamily="2" charset="-122"/>
              <a:ea typeface="华文中宋" panose="02010600040101010101" pitchFamily="2" charset="-122"/>
            </a:rPr>
            <a:t>2</a:t>
          </a:r>
          <a:r>
            <a:rPr lang="zh-CN" altLang="en-US" sz="1200">
              <a:latin typeface="华文中宋" panose="02010600040101010101" pitchFamily="2" charset="-122"/>
              <a:ea typeface="华文中宋" panose="02010600040101010101" pitchFamily="2" charset="-122"/>
            </a:rPr>
            <a:t>个组。</a:t>
          </a:r>
          <a:endParaRPr sz="1200">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接下来，罗尔夫开始为武器组掷骰。他已经获得了必有的砍刀特技组，所以接下来只会再骰出两个武器组，来源如下：背景</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屠夫</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斧</a:t>
          </a:r>
          <a:r>
            <a:rPr lang="en-US" sz="1200">
              <a:latin typeface="华文中宋" panose="02010600040101010101" pitchFamily="2" charset="-122"/>
              <a:ea typeface="华文中宋" panose="02010600040101010101" pitchFamily="2" charset="-122"/>
            </a:rPr>
            <a:t> 1.25, </a:t>
          </a:r>
          <a:r>
            <a:rPr lang="zh-CN" altLang="en-US" sz="1200">
              <a:latin typeface="华文中宋" panose="02010600040101010101" pitchFamily="2" charset="-122"/>
              <a:ea typeface="华文中宋" panose="02010600040101010101" pitchFamily="2" charset="-122"/>
            </a:rPr>
            <a:t>矛</a:t>
          </a:r>
          <a:r>
            <a:rPr lang="en-US" sz="1200">
              <a:latin typeface="华文中宋" panose="02010600040101010101" pitchFamily="2" charset="-122"/>
              <a:ea typeface="华文中宋" panose="02010600040101010101" pitchFamily="2" charset="-122"/>
            </a:rPr>
            <a:t>.8; </a:t>
          </a:r>
          <a:r>
            <a:rPr lang="zh-CN" altLang="en-US" sz="1200">
              <a:latin typeface="华文中宋" panose="02010600040101010101" pitchFamily="2" charset="-122"/>
              <a:ea typeface="华文中宋" panose="02010600040101010101" pitchFamily="2" charset="-122"/>
            </a:rPr>
            <a:t>背景类型</a:t>
          </a:r>
          <a:r>
            <a:rPr lang="en-US" sz="1200">
              <a:latin typeface="华文中宋" panose="02010600040101010101" pitchFamily="2" charset="-122"/>
              <a:ea typeface="华文中宋" panose="02010600040101010101" pitchFamily="2" charset="-122"/>
            </a:rPr>
            <a:t>(</a:t>
          </a:r>
          <a:r>
            <a:rPr lang="zh-CN" altLang="en-US" sz="1200">
              <a:latin typeface="华文中宋" panose="02010600040101010101" pitchFamily="2" charset="-122"/>
              <a:ea typeface="华文中宋" panose="02010600040101010101" pitchFamily="2" charset="-122"/>
            </a:rPr>
            <a:t>近战背景</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弓</a:t>
          </a:r>
          <a:r>
            <a:rPr lang="en-US" sz="1200">
              <a:latin typeface="华文中宋" panose="02010600040101010101" pitchFamily="2" charset="-122"/>
              <a:ea typeface="华文中宋" panose="02010600040101010101" pitchFamily="2" charset="-122"/>
            </a:rPr>
            <a:t>, 0, </a:t>
          </a:r>
          <a:r>
            <a:rPr lang="zh-CN" altLang="en-US" sz="1200">
              <a:latin typeface="华文中宋" panose="02010600040101010101" pitchFamily="2" charset="-122"/>
              <a:ea typeface="华文中宋" panose="02010600040101010101" pitchFamily="2" charset="-122"/>
            </a:rPr>
            <a:t>弩</a:t>
          </a:r>
          <a:r>
            <a:rPr lang="en-US" sz="1200">
              <a:latin typeface="华文中宋" panose="02010600040101010101" pitchFamily="2" charset="-122"/>
              <a:ea typeface="华文中宋" panose="02010600040101010101" pitchFamily="2" charset="-122"/>
            </a:rPr>
            <a:t> 0.8; </a:t>
          </a:r>
          <a:r>
            <a:rPr lang="zh-CN" altLang="en-US" sz="1200">
              <a:latin typeface="华文中宋" panose="02010600040101010101" pitchFamily="2" charset="-122"/>
              <a:ea typeface="华文中宋" panose="02010600040101010101" pitchFamily="2" charset="-122"/>
            </a:rPr>
            <a:t>武器自身权重</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弓</a:t>
          </a:r>
          <a:r>
            <a:rPr lang="en-US" sz="1200">
              <a:latin typeface="华文中宋" panose="02010600040101010101" pitchFamily="2" charset="-122"/>
              <a:ea typeface="华文中宋" panose="02010600040101010101" pitchFamily="2" charset="-122"/>
            </a:rPr>
            <a:t> 0.33, </a:t>
          </a:r>
          <a:r>
            <a:rPr lang="zh-CN" altLang="en-US" sz="1200">
              <a:latin typeface="华文中宋" panose="02010600040101010101" pitchFamily="2" charset="-122"/>
              <a:ea typeface="华文中宋" panose="02010600040101010101" pitchFamily="2" charset="-122"/>
            </a:rPr>
            <a:t>匕首</a:t>
          </a:r>
          <a:r>
            <a:rPr lang="en-US" sz="1200">
              <a:latin typeface="华文中宋" panose="02010600040101010101" pitchFamily="2" charset="-122"/>
              <a:ea typeface="华文中宋" panose="02010600040101010101" pitchFamily="2" charset="-122"/>
            </a:rPr>
            <a:t> 0.5, </a:t>
          </a:r>
          <a:r>
            <a:rPr lang="zh-CN" altLang="en-US" sz="1200">
              <a:latin typeface="华文中宋" panose="02010600040101010101" pitchFamily="2" charset="-122"/>
              <a:ea typeface="华文中宋" panose="02010600040101010101" pitchFamily="2" charset="-122"/>
            </a:rPr>
            <a:t>矛</a:t>
          </a:r>
          <a:r>
            <a:rPr lang="en-US" sz="1200">
              <a:latin typeface="华文中宋" panose="02010600040101010101" pitchFamily="2" charset="-122"/>
              <a:ea typeface="华文中宋" panose="02010600040101010101" pitchFamily="2" charset="-122"/>
            </a:rPr>
            <a:t>1.2 </a:t>
          </a:r>
          <a:r>
            <a:rPr lang="zh-CN" altLang="en-US" sz="1200">
              <a:latin typeface="华文中宋" panose="02010600040101010101" pitchFamily="2" charset="-122"/>
              <a:ea typeface="华文中宋" panose="02010600040101010101" pitchFamily="2" charset="-122"/>
            </a:rPr>
            <a:t>等等</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值得注意的是，尽管自身权重为</a:t>
          </a:r>
          <a:r>
            <a:rPr lang="en-US" sz="1200">
              <a:latin typeface="华文中宋" panose="02010600040101010101" pitchFamily="2" charset="-122"/>
              <a:ea typeface="华文中宋" panose="02010600040101010101" pitchFamily="2" charset="-122"/>
            </a:rPr>
            <a:t>0.33, </a:t>
          </a:r>
          <a:r>
            <a:rPr lang="zh-CN" altLang="en-US" sz="1200">
              <a:latin typeface="华文中宋" panose="02010600040101010101" pitchFamily="2" charset="-122"/>
              <a:ea typeface="华文中宋" panose="02010600040101010101" pitchFamily="2" charset="-122"/>
            </a:rPr>
            <a:t>因为</a:t>
          </a:r>
          <a:r>
            <a:rPr lang="en-US" altLang="zh-CN" sz="1100">
              <a:effectLst/>
              <a:latin typeface="华文中宋" panose="02010600040101010101" pitchFamily="2" charset="-122"/>
              <a:ea typeface="华文中宋" panose="02010600040101010101" pitchFamily="2" charset="-122"/>
              <a:cs typeface="+mn-cs"/>
            </a:rPr>
            <a:t>0 x 0.33 </a:t>
          </a:r>
          <a:r>
            <a:rPr lang="zh-CN" altLang="en-US" sz="1100">
              <a:effectLst/>
              <a:latin typeface="华文中宋" panose="02010600040101010101" pitchFamily="2" charset="-122"/>
              <a:ea typeface="华文中宋" panose="02010600040101010101" pitchFamily="2" charset="-122"/>
              <a:cs typeface="+mn-cs"/>
            </a:rPr>
            <a:t>等于</a:t>
          </a:r>
          <a:r>
            <a:rPr lang="en-US" altLang="zh-CN" sz="1100">
              <a:effectLst/>
              <a:latin typeface="华文中宋" panose="02010600040101010101" pitchFamily="2" charset="-122"/>
              <a:ea typeface="华文中宋" panose="02010600040101010101" pitchFamily="2" charset="-122"/>
              <a:cs typeface="+mn-cs"/>
            </a:rPr>
            <a:t>0</a:t>
          </a:r>
          <a:r>
            <a:rPr lang="zh-CN" altLang="en-US" sz="1100">
              <a:effectLst/>
              <a:latin typeface="华文中宋" panose="02010600040101010101" pitchFamily="2" charset="-122"/>
              <a:ea typeface="华文中宋" panose="02010600040101010101" pitchFamily="2" charset="-122"/>
              <a:cs typeface="+mn-cs"/>
            </a:rPr>
            <a:t>，</a:t>
          </a:r>
          <a:r>
            <a:rPr lang="zh-CN" altLang="en-US" sz="1200">
              <a:latin typeface="华文中宋" panose="02010600040101010101" pitchFamily="2" charset="-122"/>
              <a:ea typeface="华文中宋" panose="02010600040101010101" pitchFamily="2" charset="-122"/>
            </a:rPr>
            <a:t>罗尔夫骰出弓组的概率为</a:t>
          </a:r>
          <a:r>
            <a:rPr lang="en-US" sz="1200">
              <a:latin typeface="华文中宋" panose="02010600040101010101" pitchFamily="2" charset="-122"/>
              <a:ea typeface="华文中宋" panose="02010600040101010101" pitchFamily="2" charset="-122"/>
            </a:rPr>
            <a:t>0%</a:t>
          </a:r>
          <a:r>
            <a:rPr lang="zh-CN" altLang="en-US" sz="1200">
              <a:latin typeface="华文中宋" panose="02010600040101010101" pitchFamily="2" charset="-122"/>
              <a:ea typeface="华文中宋" panose="02010600040101010101" pitchFamily="2" charset="-122"/>
            </a:rPr>
            <a:t>。</a:t>
          </a:r>
          <a:endParaRPr sz="1200">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罗尔夫现在为分配来的</a:t>
          </a:r>
          <a:r>
            <a:rPr lang="en-US" altLang="zh-CN" sz="1200">
              <a:latin typeface="华文中宋" panose="02010600040101010101" pitchFamily="2" charset="-122"/>
              <a:ea typeface="华文中宋" panose="02010600040101010101" pitchFamily="2" charset="-122"/>
            </a:rPr>
            <a:t>1</a:t>
          </a:r>
          <a:r>
            <a:rPr lang="zh-CN" altLang="en-US" sz="1200">
              <a:latin typeface="华文中宋" panose="02010600040101010101" pitchFamily="2" charset="-122"/>
              <a:ea typeface="华文中宋" panose="02010600040101010101" pitchFamily="2" charset="-122"/>
            </a:rPr>
            <a:t>个护甲组掷骰</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因为他的屠夫背景，比标准模型少一个。这之后，由于屠夫时近战背景，罗尔夫会带着</a:t>
          </a:r>
          <a:r>
            <a:rPr lang="en-US" altLang="zh-CN" sz="1200">
              <a:latin typeface="华文中宋" panose="02010600040101010101" pitchFamily="2" charset="-122"/>
              <a:ea typeface="华文中宋" panose="02010600040101010101" pitchFamily="2" charset="-122"/>
            </a:rPr>
            <a:t>0.33</a:t>
          </a:r>
          <a:r>
            <a:rPr lang="zh-CN" altLang="en-US" sz="1200">
              <a:latin typeface="华文中宋" panose="02010600040101010101" pitchFamily="2" charset="-122"/>
              <a:ea typeface="华文中宋" panose="02010600040101010101" pitchFamily="2" charset="-122"/>
            </a:rPr>
            <a:t>的远程战斗风格倍率掷出</a:t>
          </a:r>
          <a:r>
            <a:rPr lang="en-US" altLang="zh-CN" sz="1200">
              <a:latin typeface="华文中宋" panose="02010600040101010101" pitchFamily="2" charset="-122"/>
              <a:ea typeface="华文中宋" panose="02010600040101010101" pitchFamily="2" charset="-122"/>
            </a:rPr>
            <a:t>2</a:t>
          </a:r>
          <a:r>
            <a:rPr lang="zh-CN" altLang="en-US" sz="1200">
              <a:latin typeface="华文中宋" panose="02010600040101010101" pitchFamily="2" charset="-122"/>
              <a:ea typeface="华文中宋" panose="02010600040101010101" pitchFamily="2" charset="-122"/>
            </a:rPr>
            <a:t>个战斗风格特技组。</a:t>
          </a:r>
          <a:endParaRPr sz="1200">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最后，罗尔夫会为每个它符合资格要求的特殊特技和特技组掷骰。</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由于他的决心星位，他有更高的概率会获得领袖特技组。由于他的聪明特性，</a:t>
          </a:r>
          <a:r>
            <a:rPr lang="zh-CN" altLang="zh-CN" sz="1100">
              <a:effectLst/>
              <a:latin typeface="华文中宋" panose="02010600040101010101" pitchFamily="2" charset="-122"/>
              <a:ea typeface="华文中宋" panose="02010600040101010101" pitchFamily="2" charset="-122"/>
              <a:cs typeface="+mn-cs"/>
            </a:rPr>
            <a:t>他有更高的概率会获得</a:t>
          </a:r>
          <a:r>
            <a:rPr lang="zh-CN" altLang="en-US" sz="1100">
              <a:effectLst/>
              <a:latin typeface="华文中宋" panose="02010600040101010101" pitchFamily="2" charset="-122"/>
              <a:ea typeface="华文中宋" panose="02010600040101010101" pitchFamily="2" charset="-122"/>
              <a:cs typeface="+mn-cs"/>
            </a:rPr>
            <a:t>发掘潜能、天才、冉冉新星和学生特技。</a:t>
          </a:r>
          <a:endParaRPr sz="1200">
            <a:latin typeface="华文中宋" panose="02010600040101010101" pitchFamily="2" charset="-122"/>
            <a:ea typeface="华文中宋" panose="02010600040101010101" pitchFamily="2" charset="-122"/>
          </a:endParaRPr>
        </a:p>
        <a:p>
          <a:pPr marL="457200" lvl="0" indent="-304800" algn="l" rtl="0">
            <a:spcBef>
              <a:spcPts val="0"/>
            </a:spcBef>
            <a:spcAft>
              <a:spcPts val="0"/>
            </a:spcAft>
            <a:buSzPts val="1200"/>
            <a:buAutoNum type="arabicPeriod"/>
          </a:pPr>
          <a:r>
            <a:rPr lang="zh-CN" altLang="en-US" sz="1200">
              <a:latin typeface="华文中宋" panose="02010600040101010101" pitchFamily="2" charset="-122"/>
              <a:ea typeface="华文中宋" panose="02010600040101010101" pitchFamily="2" charset="-122"/>
            </a:rPr>
            <a:t>现在罗尔夫已经准备好为战场兄弟战团战斗赴死了！</a:t>
          </a:r>
          <a:endParaRPr sz="1500">
            <a:latin typeface="华文中宋" panose="02010600040101010101" pitchFamily="2" charset="-122"/>
            <a:ea typeface="华文中宋" panose="02010600040101010101" pitchFamily="2" charset="-122"/>
          </a:endParaRPr>
        </a:p>
      </xdr:txBody>
    </xdr:sp>
    <xdr:clientData fLocksWithSheet="0"/>
  </xdr:oneCellAnchor>
  <xdr:oneCellAnchor>
    <xdr:from>
      <xdr:col>9</xdr:col>
      <xdr:colOff>104775</xdr:colOff>
      <xdr:row>2</xdr:row>
      <xdr:rowOff>19050</xdr:rowOff>
    </xdr:from>
    <xdr:ext cx="1943100" cy="866938"/>
    <xdr:sp macro="" textlink="">
      <xdr:nvSpPr>
        <xdr:cNvPr id="5" name="Shape 5">
          <a:extLst>
            <a:ext uri="{FF2B5EF4-FFF2-40B4-BE49-F238E27FC236}">
              <a16:creationId xmlns:a16="http://schemas.microsoft.com/office/drawing/2014/main" id="{00000000-0008-0000-0200-000005000000}"/>
            </a:ext>
          </a:extLst>
        </xdr:cNvPr>
        <xdr:cNvSpPr txBox="1"/>
      </xdr:nvSpPr>
      <xdr:spPr>
        <a:xfrm>
          <a:off x="13125450" y="552450"/>
          <a:ext cx="1943100" cy="866938"/>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spAutoFit/>
        </a:bodyPr>
        <a:lstStyle/>
        <a:p>
          <a:pPr marL="0" lvl="0" indent="0" algn="ctr" rtl="0">
            <a:spcBef>
              <a:spcPts val="0"/>
            </a:spcBef>
            <a:spcAft>
              <a:spcPts val="0"/>
            </a:spcAft>
            <a:buNone/>
          </a:pPr>
          <a:r>
            <a:rPr lang="zh-CN" altLang="en-US" sz="1200" b="1" u="sng">
              <a:latin typeface="华文中宋" panose="02010600040101010101" pitchFamily="2" charset="-122"/>
              <a:ea typeface="华文中宋" panose="02010600040101010101" pitchFamily="2" charset="-122"/>
            </a:rPr>
            <a:t>键值</a:t>
          </a:r>
          <a:endParaRPr sz="1200" b="1" u="sng">
            <a:latin typeface="华文中宋" panose="02010600040101010101" pitchFamily="2" charset="-122"/>
            <a:ea typeface="华文中宋" panose="02010600040101010101" pitchFamily="2" charset="-122"/>
          </a:endParaRPr>
        </a:p>
        <a:p>
          <a:pPr marL="0" lvl="0" indent="0" algn="ctr" rtl="0">
            <a:spcBef>
              <a:spcPts val="0"/>
            </a:spcBef>
            <a:spcAft>
              <a:spcPts val="0"/>
            </a:spcAft>
            <a:buNone/>
          </a:pPr>
          <a:r>
            <a:rPr lang="zh-CN" altLang="en-US" sz="1200">
              <a:latin typeface="华文中宋" panose="02010600040101010101" pitchFamily="2" charset="-122"/>
              <a:ea typeface="华文中宋" panose="02010600040101010101" pitchFamily="2" charset="-122"/>
            </a:rPr>
            <a:t>特技组</a:t>
          </a: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权重</a:t>
          </a:r>
          <a:r>
            <a:rPr lang="en-US" sz="1200">
              <a:latin typeface="华文中宋" panose="02010600040101010101" pitchFamily="2" charset="-122"/>
              <a:ea typeface="华文中宋" panose="02010600040101010101" pitchFamily="2" charset="-122"/>
            </a:rPr>
            <a:t>)</a:t>
          </a:r>
          <a:endParaRPr sz="1200">
            <a:latin typeface="华文中宋" panose="02010600040101010101" pitchFamily="2" charset="-122"/>
            <a:ea typeface="华文中宋" panose="02010600040101010101" pitchFamily="2" charset="-122"/>
          </a:endParaRPr>
        </a:p>
        <a:p>
          <a:pPr marL="0" lvl="0" indent="0" algn="ctr" rtl="0">
            <a:spcBef>
              <a:spcPts val="0"/>
            </a:spcBef>
            <a:spcAft>
              <a:spcPts val="0"/>
            </a:spcAft>
            <a:buNone/>
          </a:pPr>
          <a:r>
            <a:rPr lang="en-US" sz="1200">
              <a:latin typeface="华文中宋" panose="02010600040101010101" pitchFamily="2" charset="-122"/>
              <a:ea typeface="华文中宋" panose="02010600040101010101" pitchFamily="2" charset="-122"/>
            </a:rPr>
            <a:t>+ </a:t>
          </a:r>
          <a:r>
            <a:rPr lang="zh-CN" altLang="en-US" sz="1200">
              <a:latin typeface="华文中宋" panose="02010600040101010101" pitchFamily="2" charset="-122"/>
              <a:ea typeface="华文中宋" panose="02010600040101010101" pitchFamily="2" charset="-122"/>
            </a:rPr>
            <a:t>即必然获得</a:t>
          </a:r>
          <a:endParaRPr sz="1200" b="1" u="sng">
            <a:latin typeface="华文中宋" panose="02010600040101010101" pitchFamily="2" charset="-122"/>
            <a:ea typeface="华文中宋" panose="02010600040101010101" pitchFamily="2" charset="-122"/>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133350</xdr:colOff>
      <xdr:row>1</xdr:row>
      <xdr:rowOff>19050</xdr:rowOff>
    </xdr:from>
    <xdr:ext cx="15516225" cy="13925550"/>
    <xdr:graphicFrame macro="">
      <xdr:nvGraphicFramePr>
        <xdr:cNvPr id="2" name="Chart 1"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962025</xdr:colOff>
      <xdr:row>1</xdr:row>
      <xdr:rowOff>0</xdr:rowOff>
    </xdr:from>
    <xdr:ext cx="30375225" cy="15754350"/>
    <xdr:graphicFrame macro="">
      <xdr:nvGraphicFramePr>
        <xdr:cNvPr id="2" name="Chart 2" titl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73"/>
  <sheetViews>
    <sheetView tabSelected="1" zoomScaleNormal="100" workbookViewId="0">
      <selection activeCell="D5" sqref="D5"/>
    </sheetView>
  </sheetViews>
  <sheetFormatPr defaultColWidth="12.5703125" defaultRowHeight="15.75" customHeight="1"/>
  <cols>
    <col min="1" max="1" width="20.42578125" style="195" customWidth="1"/>
    <col min="2" max="16384" width="12.5703125" style="195"/>
  </cols>
  <sheetData>
    <row r="1" spans="1:26" ht="17.25">
      <c r="A1" s="192" t="s">
        <v>1096</v>
      </c>
      <c r="B1" s="193"/>
      <c r="C1" s="194"/>
      <c r="D1" s="194"/>
      <c r="E1" s="194"/>
      <c r="F1" s="193"/>
      <c r="G1" s="193"/>
      <c r="H1" s="193"/>
      <c r="I1" s="193"/>
      <c r="J1" s="193"/>
      <c r="K1" s="193"/>
      <c r="L1" s="193"/>
      <c r="M1" s="193"/>
      <c r="N1" s="193"/>
      <c r="O1" s="193"/>
      <c r="P1" s="193"/>
      <c r="Q1" s="193"/>
      <c r="R1" s="193"/>
      <c r="S1" s="193"/>
      <c r="T1" s="193"/>
      <c r="U1" s="193"/>
      <c r="V1" s="193"/>
      <c r="W1" s="193"/>
      <c r="X1" s="193"/>
      <c r="Y1" s="193"/>
      <c r="Z1" s="193"/>
    </row>
    <row r="2" spans="1:26" ht="17.25">
      <c r="A2" s="196" t="s">
        <v>2548</v>
      </c>
      <c r="B2" s="196"/>
      <c r="C2" s="196"/>
      <c r="D2" s="196"/>
      <c r="E2" s="196"/>
      <c r="F2" s="196"/>
      <c r="G2" s="196"/>
      <c r="H2" s="196"/>
      <c r="I2" s="196"/>
      <c r="J2" s="196"/>
      <c r="K2" s="196"/>
      <c r="L2" s="196"/>
      <c r="M2" s="196"/>
      <c r="N2" s="196"/>
      <c r="O2" s="196"/>
      <c r="P2" s="196"/>
      <c r="Q2" s="196"/>
      <c r="R2" s="196"/>
      <c r="S2" s="196"/>
      <c r="T2" s="196"/>
      <c r="U2" s="196"/>
      <c r="V2" s="196"/>
      <c r="W2" s="196"/>
      <c r="X2" s="196"/>
      <c r="Y2" s="196"/>
      <c r="Z2" s="196"/>
    </row>
    <row r="3" spans="1:26" ht="17.25">
      <c r="A3" s="196" t="s">
        <v>2374</v>
      </c>
      <c r="B3" s="196"/>
      <c r="C3" s="196"/>
      <c r="D3" s="196"/>
      <c r="E3" s="196"/>
      <c r="F3" s="196"/>
      <c r="G3" s="196"/>
      <c r="H3" s="196"/>
      <c r="I3" s="196"/>
      <c r="J3" s="196"/>
      <c r="K3" s="196"/>
      <c r="L3" s="196"/>
      <c r="M3" s="196"/>
      <c r="N3" s="196"/>
      <c r="P3" s="196"/>
      <c r="Q3" s="196"/>
      <c r="R3" s="196"/>
      <c r="S3" s="196"/>
      <c r="T3" s="196"/>
      <c r="U3" s="196"/>
      <c r="V3" s="196"/>
      <c r="W3" s="196"/>
      <c r="X3" s="196"/>
      <c r="Y3" s="196"/>
      <c r="Z3" s="196"/>
    </row>
    <row r="4" spans="1:26" ht="17.25">
      <c r="A4" s="196"/>
      <c r="B4" s="196"/>
      <c r="C4" s="196"/>
      <c r="D4" s="196"/>
      <c r="E4" s="196"/>
      <c r="F4" s="196"/>
      <c r="G4" s="196"/>
      <c r="H4" s="196"/>
      <c r="I4" s="196"/>
      <c r="J4" s="196"/>
      <c r="K4" s="196"/>
      <c r="L4" s="196"/>
      <c r="M4" s="196"/>
      <c r="N4" s="196"/>
      <c r="O4" s="196"/>
      <c r="P4" s="196"/>
      <c r="Q4" s="196"/>
      <c r="R4" s="196"/>
      <c r="S4" s="196"/>
      <c r="T4" s="196"/>
      <c r="U4" s="196"/>
      <c r="V4" s="196"/>
      <c r="W4" s="196"/>
      <c r="X4" s="196"/>
      <c r="Y4" s="196"/>
      <c r="Z4" s="196"/>
    </row>
    <row r="5" spans="1:26" ht="17.25">
      <c r="A5" s="192" t="s">
        <v>1097</v>
      </c>
      <c r="B5" s="193"/>
      <c r="C5" s="193"/>
      <c r="D5" s="193"/>
      <c r="E5" s="193"/>
      <c r="F5" s="193"/>
      <c r="G5" s="193"/>
      <c r="H5" s="193"/>
      <c r="I5" s="193"/>
      <c r="J5" s="193"/>
      <c r="K5" s="193"/>
      <c r="L5" s="193"/>
      <c r="M5" s="193"/>
      <c r="N5" s="193"/>
      <c r="O5" s="193"/>
      <c r="P5" s="193"/>
      <c r="Q5" s="193"/>
      <c r="R5" s="193"/>
      <c r="S5" s="193"/>
      <c r="T5" s="193"/>
      <c r="U5" s="193"/>
      <c r="V5" s="193"/>
      <c r="W5" s="193"/>
      <c r="X5" s="193"/>
      <c r="Y5" s="193"/>
      <c r="Z5" s="193"/>
    </row>
    <row r="6" spans="1:26" ht="17.25">
      <c r="A6" s="196" t="s">
        <v>1121</v>
      </c>
      <c r="B6" s="196"/>
      <c r="C6" s="196"/>
      <c r="D6" s="196"/>
      <c r="E6" s="196"/>
      <c r="F6" s="196"/>
      <c r="G6" s="196"/>
      <c r="H6" s="196"/>
      <c r="I6" s="196"/>
      <c r="J6" s="196"/>
      <c r="K6" s="196"/>
      <c r="L6" s="196"/>
      <c r="M6" s="196"/>
      <c r="N6" s="196"/>
      <c r="O6" s="196"/>
      <c r="P6" s="196"/>
      <c r="Q6" s="196"/>
      <c r="R6" s="196"/>
      <c r="S6" s="196"/>
      <c r="T6" s="196"/>
      <c r="U6" s="196"/>
      <c r="V6" s="196"/>
      <c r="W6" s="196"/>
      <c r="X6" s="196"/>
      <c r="Y6" s="196"/>
      <c r="Z6" s="196"/>
    </row>
    <row r="7" spans="1:26" ht="17.25">
      <c r="A7" s="197" t="s">
        <v>1122</v>
      </c>
      <c r="B7" s="196"/>
      <c r="C7" s="196"/>
      <c r="D7" s="196"/>
      <c r="E7" s="196"/>
      <c r="F7" s="196"/>
      <c r="G7" s="196"/>
      <c r="H7" s="196"/>
      <c r="I7" s="196"/>
      <c r="J7" s="196"/>
      <c r="K7" s="196"/>
      <c r="L7" s="196"/>
      <c r="M7" s="196"/>
      <c r="N7" s="196"/>
      <c r="O7" s="196"/>
      <c r="P7" s="196"/>
      <c r="Q7" s="196"/>
      <c r="R7" s="196"/>
      <c r="S7" s="196"/>
      <c r="T7" s="196"/>
      <c r="U7" s="196"/>
      <c r="V7" s="196"/>
      <c r="W7" s="196"/>
      <c r="X7" s="196"/>
      <c r="Y7" s="196"/>
      <c r="Z7" s="196"/>
    </row>
    <row r="8" spans="1:26" ht="17.25">
      <c r="A8" s="197" t="s">
        <v>2378</v>
      </c>
      <c r="B8" s="196"/>
      <c r="C8" s="196"/>
      <c r="D8" s="196"/>
      <c r="E8" s="196"/>
      <c r="F8" s="196"/>
      <c r="G8" s="196"/>
      <c r="H8" s="196"/>
      <c r="I8" s="196"/>
      <c r="J8" s="196"/>
      <c r="K8" s="196"/>
      <c r="L8" s="196"/>
      <c r="M8" s="196"/>
      <c r="N8" s="196"/>
      <c r="O8" s="196"/>
      <c r="P8" s="196"/>
      <c r="Q8" s="196"/>
      <c r="R8" s="196"/>
      <c r="S8" s="196"/>
      <c r="T8" s="196"/>
      <c r="U8" s="196"/>
      <c r="V8" s="196"/>
      <c r="W8" s="196"/>
      <c r="X8" s="196"/>
      <c r="Y8" s="196"/>
      <c r="Z8" s="196"/>
    </row>
    <row r="9" spans="1:26" ht="17.25">
      <c r="A9" s="197" t="s">
        <v>2364</v>
      </c>
      <c r="B9" s="196"/>
      <c r="C9" s="196"/>
      <c r="D9" s="196"/>
      <c r="E9" s="196"/>
      <c r="F9" s="196"/>
      <c r="G9" s="196"/>
      <c r="H9" s="196"/>
      <c r="I9" s="196"/>
      <c r="J9" s="196"/>
      <c r="K9" s="196"/>
      <c r="L9" s="196"/>
      <c r="M9" s="196"/>
      <c r="N9" s="196"/>
      <c r="O9" s="196"/>
      <c r="P9" s="196"/>
      <c r="Q9" s="196"/>
      <c r="R9" s="196"/>
      <c r="S9" s="196"/>
      <c r="T9" s="196"/>
      <c r="U9" s="196"/>
      <c r="V9" s="196"/>
      <c r="W9" s="196"/>
      <c r="X9" s="196"/>
      <c r="Y9" s="196"/>
      <c r="Z9" s="196"/>
    </row>
    <row r="10" spans="1:26" ht="17.25">
      <c r="A10" s="197" t="s">
        <v>2365</v>
      </c>
      <c r="B10" s="196"/>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row>
    <row r="11" spans="1:26" ht="17.25">
      <c r="A11" s="196" t="s">
        <v>2366</v>
      </c>
      <c r="B11" s="196"/>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row>
    <row r="12" spans="1:26" ht="17.25">
      <c r="A12" s="196"/>
      <c r="B12" s="196"/>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row>
    <row r="13" spans="1:26" ht="17.25">
      <c r="A13" s="192" t="s">
        <v>1098</v>
      </c>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row>
    <row r="14" spans="1:26" ht="17.25">
      <c r="A14" s="196" t="s">
        <v>2367</v>
      </c>
      <c r="B14" s="196"/>
      <c r="C14" s="196"/>
      <c r="D14" s="196"/>
      <c r="E14" s="196"/>
      <c r="F14" s="196"/>
      <c r="G14" s="196"/>
      <c r="H14" s="196"/>
      <c r="J14" s="196"/>
      <c r="K14" s="196"/>
      <c r="L14" s="196"/>
      <c r="M14" s="196"/>
      <c r="N14" s="196"/>
      <c r="O14" s="196"/>
      <c r="P14" s="196"/>
      <c r="Q14" s="196"/>
      <c r="R14" s="196"/>
      <c r="S14" s="196"/>
      <c r="T14" s="196"/>
      <c r="U14" s="196"/>
      <c r="V14" s="196"/>
      <c r="W14" s="196"/>
      <c r="X14" s="196"/>
      <c r="Y14" s="196"/>
      <c r="Z14" s="196"/>
    </row>
    <row r="15" spans="1:26" ht="17.25">
      <c r="A15" s="196" t="s">
        <v>2368</v>
      </c>
      <c r="B15" s="196"/>
      <c r="C15" s="196"/>
      <c r="D15" s="196"/>
      <c r="E15" s="196"/>
      <c r="F15" s="196"/>
      <c r="G15" s="196"/>
      <c r="H15" s="196"/>
      <c r="J15" s="196"/>
      <c r="K15" s="196"/>
      <c r="L15" s="196"/>
      <c r="M15" s="196"/>
      <c r="N15" s="196"/>
      <c r="O15" s="196"/>
      <c r="P15" s="196"/>
      <c r="Q15" s="196"/>
      <c r="R15" s="196"/>
      <c r="S15" s="196"/>
      <c r="T15" s="196"/>
      <c r="U15" s="196"/>
      <c r="V15" s="196"/>
      <c r="W15" s="196"/>
      <c r="X15" s="196"/>
      <c r="Y15" s="196"/>
      <c r="Z15" s="196"/>
    </row>
    <row r="16" spans="1:26" ht="17.25">
      <c r="A16" s="196" t="s">
        <v>2369</v>
      </c>
      <c r="B16" s="196"/>
      <c r="C16" s="196"/>
      <c r="D16" s="196"/>
      <c r="E16" s="196"/>
      <c r="F16" s="196"/>
      <c r="G16" s="196"/>
      <c r="H16" s="196"/>
      <c r="I16" s="196"/>
      <c r="K16" s="196"/>
      <c r="L16" s="196"/>
      <c r="M16" s="196"/>
      <c r="N16" s="196"/>
      <c r="O16" s="196"/>
      <c r="P16" s="196"/>
      <c r="Q16" s="196"/>
      <c r="R16" s="196"/>
      <c r="S16" s="196"/>
      <c r="T16" s="196"/>
      <c r="U16" s="196"/>
      <c r="V16" s="196"/>
      <c r="W16" s="196"/>
      <c r="X16" s="196"/>
      <c r="Y16" s="196"/>
      <c r="Z16" s="196"/>
    </row>
    <row r="17" spans="1:26" ht="17.25">
      <c r="A17" s="196" t="s">
        <v>2379</v>
      </c>
      <c r="B17" s="196"/>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row>
    <row r="18" spans="1:26" ht="17.25">
      <c r="A18" s="196" t="s">
        <v>2380</v>
      </c>
      <c r="B18" s="196"/>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row>
    <row r="19" spans="1:26" ht="17.25">
      <c r="A19" s="196"/>
      <c r="B19" s="196"/>
      <c r="C19" s="196"/>
      <c r="D19" s="196"/>
      <c r="E19" s="196"/>
      <c r="F19" s="196"/>
      <c r="G19" s="196"/>
      <c r="H19" s="196"/>
      <c r="I19" s="196"/>
      <c r="J19" s="196"/>
      <c r="K19" s="196"/>
      <c r="L19" s="196"/>
      <c r="M19" s="196"/>
      <c r="N19" s="196"/>
      <c r="O19" s="196"/>
      <c r="P19" s="196"/>
      <c r="Q19" s="196"/>
      <c r="R19" s="196"/>
      <c r="S19" s="196"/>
      <c r="T19" s="196"/>
      <c r="U19" s="196"/>
      <c r="V19" s="196"/>
      <c r="W19" s="196"/>
      <c r="X19" s="196"/>
      <c r="Y19" s="196"/>
      <c r="Z19" s="196"/>
    </row>
    <row r="20" spans="1:26" ht="17.25">
      <c r="A20" s="192" t="s">
        <v>1099</v>
      </c>
      <c r="B20" s="193"/>
      <c r="C20" s="193"/>
      <c r="D20" s="193"/>
      <c r="E20" s="193"/>
      <c r="F20" s="193"/>
      <c r="G20" s="193"/>
      <c r="H20" s="193"/>
      <c r="I20" s="193"/>
      <c r="J20" s="193"/>
      <c r="K20" s="193"/>
      <c r="L20" s="193"/>
      <c r="M20" s="193"/>
      <c r="N20" s="193"/>
      <c r="O20" s="193"/>
      <c r="P20" s="193"/>
      <c r="Q20" s="193"/>
      <c r="R20" s="193"/>
      <c r="S20" s="193"/>
      <c r="T20" s="193"/>
      <c r="U20" s="193"/>
      <c r="V20" s="193"/>
      <c r="W20" s="193"/>
      <c r="X20" s="193"/>
      <c r="Y20" s="193"/>
      <c r="Z20" s="193"/>
    </row>
    <row r="21" spans="1:26" ht="17.25">
      <c r="A21" s="196" t="s">
        <v>2370</v>
      </c>
      <c r="B21" s="196"/>
      <c r="C21" s="196"/>
      <c r="D21" s="196"/>
      <c r="E21" s="196"/>
      <c r="F21" s="196"/>
      <c r="G21" s="196"/>
      <c r="H21" s="196"/>
      <c r="I21" s="196"/>
      <c r="J21" s="196"/>
      <c r="L21" s="196"/>
      <c r="M21" s="196"/>
      <c r="N21" s="196"/>
      <c r="O21" s="196"/>
      <c r="P21" s="196"/>
      <c r="Q21" s="196"/>
      <c r="R21" s="196"/>
      <c r="S21" s="196"/>
      <c r="T21" s="196"/>
      <c r="U21" s="196"/>
      <c r="V21" s="196"/>
      <c r="W21" s="196"/>
      <c r="X21" s="196"/>
      <c r="Y21" s="196"/>
      <c r="Z21" s="196"/>
    </row>
    <row r="22" spans="1:26" ht="17.25">
      <c r="A22" s="197" t="s">
        <v>2373</v>
      </c>
      <c r="B22" s="196"/>
      <c r="C22" s="196"/>
      <c r="D22" s="196"/>
      <c r="E22" s="196"/>
      <c r="F22" s="196"/>
      <c r="G22" s="196"/>
      <c r="H22" s="196"/>
      <c r="I22" s="196"/>
      <c r="J22" s="196"/>
      <c r="K22" s="196"/>
      <c r="L22" s="196"/>
      <c r="M22" s="196"/>
      <c r="N22" s="196"/>
      <c r="O22" s="196"/>
      <c r="P22" s="196"/>
      <c r="Q22" s="196"/>
      <c r="R22" s="196"/>
      <c r="S22" s="196"/>
      <c r="T22" s="196"/>
      <c r="U22" s="196"/>
      <c r="V22" s="196"/>
      <c r="W22" s="196"/>
      <c r="X22" s="196"/>
      <c r="Y22" s="196"/>
      <c r="Z22" s="196"/>
    </row>
    <row r="23" spans="1:26" ht="17.25">
      <c r="A23" s="196" t="s">
        <v>2371</v>
      </c>
      <c r="B23" s="196"/>
      <c r="C23" s="196"/>
      <c r="D23" s="196"/>
      <c r="E23" s="196"/>
      <c r="G23" s="196"/>
      <c r="H23" s="196"/>
      <c r="I23" s="196"/>
      <c r="J23" s="196"/>
      <c r="K23" s="196"/>
      <c r="L23" s="196"/>
      <c r="M23" s="196"/>
      <c r="N23" s="196"/>
      <c r="O23" s="196"/>
      <c r="P23" s="196"/>
      <c r="Q23" s="196"/>
      <c r="R23" s="196"/>
      <c r="S23" s="196"/>
      <c r="T23" s="196"/>
      <c r="U23" s="196"/>
      <c r="V23" s="196"/>
      <c r="W23" s="196"/>
      <c r="X23" s="196"/>
      <c r="Y23" s="196"/>
      <c r="Z23" s="196"/>
    </row>
    <row r="24" spans="1:26" ht="17.25">
      <c r="A24" s="197" t="s">
        <v>2381</v>
      </c>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spans="1:26" ht="17.25">
      <c r="A25" s="197" t="s">
        <v>2372</v>
      </c>
      <c r="B25" s="196"/>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spans="1:26" ht="17.25">
      <c r="A26" s="197"/>
      <c r="B26" s="196"/>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row>
    <row r="27" spans="1:26" ht="17.25">
      <c r="A27" s="194" t="s">
        <v>2382</v>
      </c>
      <c r="B27" s="198"/>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row>
    <row r="28" spans="1:26" ht="17.25">
      <c r="A28" s="196" t="s">
        <v>2383</v>
      </c>
      <c r="B28" s="196"/>
      <c r="C28" s="196"/>
      <c r="D28" s="196"/>
      <c r="E28" s="196"/>
      <c r="F28" s="196"/>
      <c r="G28" s="196"/>
      <c r="H28" s="196"/>
      <c r="I28" s="196"/>
      <c r="J28" s="196"/>
      <c r="K28" s="196"/>
      <c r="L28" s="196"/>
      <c r="M28" s="196"/>
      <c r="N28" s="196"/>
      <c r="O28" s="196"/>
      <c r="P28" s="196"/>
      <c r="Q28" s="196"/>
      <c r="R28" s="196"/>
      <c r="S28" s="196"/>
      <c r="T28" s="196"/>
      <c r="U28" s="196"/>
      <c r="V28" s="196"/>
      <c r="W28" s="196"/>
      <c r="X28" s="196"/>
      <c r="Y28" s="196"/>
      <c r="Z28" s="196"/>
    </row>
    <row r="29" spans="1:26" ht="17.25">
      <c r="A29" s="196"/>
      <c r="B29" s="196"/>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row>
    <row r="30" spans="1:26" ht="17.25">
      <c r="A30" s="194" t="s">
        <v>1100</v>
      </c>
      <c r="B30" s="198"/>
      <c r="C30" s="198"/>
      <c r="D30" s="198"/>
      <c r="E30" s="198"/>
      <c r="F30" s="198"/>
      <c r="G30" s="198"/>
      <c r="H30" s="198"/>
      <c r="I30" s="198"/>
      <c r="J30" s="198"/>
      <c r="K30" s="198"/>
      <c r="L30" s="198"/>
      <c r="M30" s="198"/>
      <c r="N30" s="198"/>
      <c r="O30" s="198"/>
      <c r="P30" s="198"/>
      <c r="Q30" s="198"/>
      <c r="R30" s="198"/>
      <c r="S30" s="198"/>
      <c r="T30" s="198"/>
      <c r="U30" s="198"/>
      <c r="V30" s="198"/>
      <c r="W30" s="198"/>
      <c r="X30" s="198"/>
      <c r="Y30" s="198"/>
      <c r="Z30" s="198"/>
    </row>
    <row r="31" spans="1:26" ht="17.25">
      <c r="A31" s="196" t="s">
        <v>2384</v>
      </c>
      <c r="B31" s="196"/>
      <c r="C31" s="196"/>
      <c r="D31" s="196"/>
      <c r="E31" s="196"/>
      <c r="F31" s="196"/>
      <c r="G31" s="196"/>
      <c r="H31" s="196"/>
      <c r="I31" s="196"/>
      <c r="J31" s="196"/>
      <c r="K31" s="196"/>
      <c r="L31" s="196"/>
      <c r="M31" s="196"/>
      <c r="N31" s="196"/>
      <c r="O31" s="196"/>
      <c r="P31" s="196"/>
      <c r="Q31" s="196"/>
      <c r="R31" s="196"/>
      <c r="S31" s="196"/>
      <c r="T31" s="196"/>
      <c r="U31" s="196"/>
      <c r="V31" s="196"/>
      <c r="W31" s="196"/>
      <c r="X31" s="196"/>
      <c r="Y31" s="196"/>
      <c r="Z31" s="196"/>
    </row>
    <row r="32" spans="1:26" ht="17.25">
      <c r="A32" s="196"/>
      <c r="B32" s="196"/>
      <c r="C32" s="196"/>
      <c r="D32" s="196"/>
      <c r="E32" s="196"/>
      <c r="F32" s="196"/>
      <c r="G32" s="196"/>
      <c r="H32" s="196"/>
      <c r="I32" s="196"/>
      <c r="J32" s="196"/>
      <c r="K32" s="196"/>
      <c r="L32" s="196"/>
      <c r="M32" s="196"/>
      <c r="N32" s="196"/>
      <c r="O32" s="196"/>
      <c r="P32" s="196"/>
      <c r="Q32" s="196"/>
      <c r="R32" s="196"/>
      <c r="S32" s="196"/>
      <c r="T32" s="196"/>
      <c r="U32" s="196"/>
      <c r="V32" s="196"/>
      <c r="W32" s="196"/>
      <c r="X32" s="196"/>
      <c r="Y32" s="196"/>
      <c r="Z32" s="196"/>
    </row>
    <row r="33" spans="1:26" ht="17.25">
      <c r="A33" s="192" t="s">
        <v>1101</v>
      </c>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row>
    <row r="34" spans="1:26" ht="15.75" customHeight="1">
      <c r="A34" s="196" t="s">
        <v>2385</v>
      </c>
      <c r="B34" s="196"/>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row>
    <row r="35" spans="1:26" ht="17.25">
      <c r="A35" s="196"/>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spans="1:26" ht="17.25">
      <c r="A36" s="192" t="s">
        <v>1102</v>
      </c>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spans="1:26" ht="17.25">
      <c r="A37" s="196" t="s">
        <v>1723</v>
      </c>
      <c r="B37" s="196"/>
      <c r="C37" s="196"/>
      <c r="D37" s="196"/>
      <c r="E37" s="196"/>
      <c r="F37" s="196"/>
      <c r="G37" s="196"/>
      <c r="H37" s="196"/>
      <c r="I37" s="196"/>
      <c r="J37" s="196"/>
      <c r="K37" s="196"/>
      <c r="L37" s="196"/>
      <c r="M37" s="196"/>
      <c r="N37" s="196"/>
      <c r="O37" s="196"/>
      <c r="P37" s="196"/>
      <c r="Q37" s="196"/>
      <c r="R37" s="196"/>
      <c r="S37" s="196"/>
      <c r="T37" s="196"/>
      <c r="U37" s="196"/>
      <c r="V37" s="196"/>
      <c r="W37" s="196"/>
      <c r="X37" s="196"/>
      <c r="Y37" s="196"/>
      <c r="Z37" s="196"/>
    </row>
    <row r="38" spans="1:26" ht="17.25">
      <c r="A38" s="196" t="s">
        <v>1725</v>
      </c>
      <c r="B38" s="196"/>
      <c r="C38" s="196"/>
      <c r="D38" s="196"/>
      <c r="E38" s="196"/>
      <c r="F38" s="196"/>
      <c r="G38" s="196"/>
      <c r="H38" s="196"/>
      <c r="I38" s="196"/>
      <c r="J38" s="196"/>
      <c r="K38" s="196"/>
      <c r="L38" s="196"/>
      <c r="M38" s="196"/>
      <c r="N38" s="196"/>
      <c r="O38" s="196"/>
      <c r="P38" s="196"/>
      <c r="Q38" s="196"/>
      <c r="R38" s="196"/>
      <c r="S38" s="196"/>
      <c r="T38" s="196"/>
      <c r="U38" s="196"/>
      <c r="V38" s="196"/>
      <c r="W38" s="196"/>
      <c r="X38" s="196"/>
      <c r="Y38" s="196"/>
      <c r="Z38" s="196"/>
    </row>
    <row r="39" spans="1:26" ht="17.25">
      <c r="A39" s="196" t="s">
        <v>2386</v>
      </c>
      <c r="B39" s="196"/>
      <c r="C39" s="196"/>
      <c r="D39" s="196"/>
      <c r="E39" s="196"/>
      <c r="F39" s="196"/>
      <c r="G39" s="196"/>
      <c r="H39" s="196"/>
      <c r="I39" s="196"/>
      <c r="J39" s="196"/>
      <c r="K39" s="196"/>
      <c r="L39" s="196"/>
      <c r="M39" s="196"/>
      <c r="N39" s="196"/>
      <c r="O39" s="196"/>
      <c r="P39" s="196"/>
      <c r="Q39" s="196"/>
      <c r="R39" s="196"/>
      <c r="S39" s="196"/>
      <c r="T39" s="196"/>
      <c r="U39" s="196"/>
      <c r="V39" s="196"/>
      <c r="W39" s="196"/>
      <c r="X39" s="196"/>
      <c r="Y39" s="196"/>
      <c r="Z39" s="196"/>
    </row>
    <row r="40" spans="1:26" ht="17.25">
      <c r="A40" s="196" t="s">
        <v>1724</v>
      </c>
      <c r="B40" s="196"/>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row>
    <row r="41" spans="1:26" ht="17.25">
      <c r="A41" s="196"/>
      <c r="B41" s="196"/>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row>
    <row r="42" spans="1:26" ht="17.25">
      <c r="A42" s="192" t="s">
        <v>1103</v>
      </c>
      <c r="B42" s="193"/>
      <c r="C42" s="193"/>
      <c r="D42" s="193"/>
      <c r="E42" s="193"/>
      <c r="F42" s="193"/>
      <c r="G42" s="193"/>
      <c r="H42" s="193"/>
      <c r="I42" s="193"/>
      <c r="J42" s="193"/>
      <c r="K42" s="193"/>
      <c r="L42" s="193"/>
      <c r="M42" s="193"/>
      <c r="N42" s="193"/>
      <c r="O42" s="193"/>
      <c r="P42" s="193"/>
      <c r="Q42" s="193"/>
      <c r="R42" s="193"/>
      <c r="S42" s="193"/>
      <c r="T42" s="193"/>
      <c r="U42" s="193"/>
      <c r="V42" s="193"/>
      <c r="W42" s="193"/>
      <c r="X42" s="193"/>
      <c r="Y42" s="193"/>
      <c r="Z42" s="193"/>
    </row>
    <row r="43" spans="1:26" ht="17.25">
      <c r="A43" s="196" t="s">
        <v>1719</v>
      </c>
      <c r="B43" s="196"/>
      <c r="C43" s="196"/>
      <c r="D43" s="196"/>
      <c r="E43" s="196"/>
      <c r="F43" s="196"/>
      <c r="G43" s="196"/>
      <c r="H43" s="196"/>
      <c r="I43" s="196"/>
      <c r="J43" s="196"/>
      <c r="K43" s="196"/>
      <c r="L43" s="196"/>
      <c r="M43" s="196"/>
      <c r="N43" s="196"/>
      <c r="O43" s="196"/>
      <c r="P43" s="196"/>
      <c r="Q43" s="196"/>
      <c r="R43" s="196"/>
      <c r="S43" s="196"/>
      <c r="T43" s="196"/>
      <c r="U43" s="196"/>
      <c r="V43" s="196"/>
      <c r="W43" s="196"/>
      <c r="X43" s="196"/>
      <c r="Y43" s="196"/>
      <c r="Z43" s="196"/>
    </row>
    <row r="44" spans="1:26" ht="17.25">
      <c r="A44" s="196" t="s">
        <v>1720</v>
      </c>
      <c r="B44" s="196"/>
      <c r="C44" s="196"/>
      <c r="D44" s="196"/>
      <c r="E44" s="196"/>
      <c r="F44" s="196"/>
      <c r="G44" s="196"/>
      <c r="H44" s="196"/>
      <c r="I44" s="196"/>
      <c r="J44" s="196"/>
      <c r="K44" s="196"/>
      <c r="L44" s="196"/>
      <c r="M44" s="196"/>
      <c r="N44" s="196"/>
      <c r="O44" s="196"/>
      <c r="P44" s="196"/>
      <c r="Q44" s="196"/>
      <c r="R44" s="196"/>
      <c r="S44" s="196"/>
      <c r="T44" s="196"/>
      <c r="U44" s="196"/>
      <c r="V44" s="196"/>
      <c r="W44" s="196"/>
      <c r="X44" s="196"/>
      <c r="Y44" s="196"/>
      <c r="Z44" s="196"/>
    </row>
    <row r="45" spans="1:26" ht="17.25">
      <c r="A45" s="196" t="s">
        <v>1722</v>
      </c>
      <c r="B45" s="196"/>
      <c r="C45" s="196"/>
      <c r="D45" s="196"/>
      <c r="E45" s="196"/>
      <c r="F45" s="196"/>
      <c r="G45" s="196"/>
      <c r="H45" s="196"/>
      <c r="I45" s="196"/>
      <c r="J45" s="196"/>
      <c r="K45" s="196"/>
      <c r="L45" s="196"/>
      <c r="M45" s="196"/>
      <c r="N45" s="196"/>
      <c r="O45" s="196"/>
      <c r="P45" s="196"/>
      <c r="Q45" s="196"/>
      <c r="R45" s="196"/>
      <c r="S45" s="196"/>
      <c r="T45" s="196"/>
      <c r="U45" s="196"/>
      <c r="V45" s="196"/>
      <c r="W45" s="196"/>
      <c r="X45" s="196"/>
      <c r="Y45" s="196"/>
      <c r="Z45" s="196"/>
    </row>
    <row r="46" spans="1:26" ht="17.25">
      <c r="A46" s="196" t="s">
        <v>1721</v>
      </c>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spans="1:26" ht="17.25">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spans="1:26" ht="17.25">
      <c r="A48" s="192" t="s">
        <v>1104</v>
      </c>
      <c r="B48" s="193"/>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row>
    <row r="49" spans="1:26" ht="17.25">
      <c r="A49" s="196" t="s">
        <v>2387</v>
      </c>
      <c r="B49" s="196"/>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row>
    <row r="50" spans="1:26" ht="17.25">
      <c r="A50" s="196" t="s">
        <v>2547</v>
      </c>
      <c r="B50" s="196"/>
      <c r="C50" s="196"/>
      <c r="D50" s="196"/>
      <c r="E50" s="196"/>
      <c r="F50" s="196"/>
      <c r="G50" s="196"/>
      <c r="H50" s="196"/>
      <c r="I50" s="196"/>
      <c r="J50" s="196"/>
      <c r="K50" s="196"/>
      <c r="L50" s="196"/>
      <c r="M50" s="196"/>
      <c r="N50" s="196"/>
      <c r="O50" s="196"/>
      <c r="P50" s="196"/>
      <c r="Q50" s="196"/>
      <c r="R50" s="196"/>
      <c r="S50" s="196"/>
      <c r="T50" s="196"/>
      <c r="U50" s="196"/>
      <c r="V50" s="196"/>
      <c r="W50" s="196"/>
      <c r="X50" s="196"/>
      <c r="Y50" s="196"/>
      <c r="Z50" s="196"/>
    </row>
    <row r="51" spans="1:26" ht="17.25">
      <c r="A51" s="196" t="s">
        <v>1726</v>
      </c>
      <c r="B51" s="196"/>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6"/>
    </row>
    <row r="52" spans="1:26" ht="17.25">
      <c r="A52" s="196" t="s">
        <v>2388</v>
      </c>
      <c r="B52" s="196"/>
      <c r="C52" s="196"/>
      <c r="D52" s="196"/>
      <c r="E52" s="196"/>
      <c r="F52" s="196"/>
      <c r="G52" s="196"/>
      <c r="H52" s="196"/>
      <c r="I52" s="196"/>
      <c r="J52" s="196"/>
      <c r="K52" s="196"/>
      <c r="L52" s="196"/>
      <c r="M52" s="196"/>
      <c r="N52" s="196"/>
      <c r="O52" s="196"/>
      <c r="P52" s="196"/>
      <c r="Q52" s="196"/>
      <c r="R52" s="196"/>
      <c r="S52" s="196"/>
      <c r="T52" s="196"/>
      <c r="U52" s="196"/>
      <c r="V52" s="196"/>
      <c r="W52" s="196"/>
      <c r="X52" s="196"/>
      <c r="Y52" s="196"/>
      <c r="Z52" s="196"/>
    </row>
    <row r="53" spans="1:26" ht="17.25">
      <c r="A53" s="196"/>
      <c r="B53" s="196"/>
      <c r="C53" s="196"/>
      <c r="D53" s="196"/>
      <c r="E53" s="196"/>
      <c r="F53" s="196"/>
      <c r="G53" s="196"/>
      <c r="H53" s="196"/>
      <c r="I53" s="196"/>
      <c r="J53" s="196"/>
      <c r="K53" s="196"/>
      <c r="L53" s="196"/>
      <c r="M53" s="196"/>
      <c r="N53" s="196"/>
      <c r="O53" s="196"/>
      <c r="P53" s="196"/>
      <c r="Q53" s="196"/>
      <c r="R53" s="196"/>
      <c r="S53" s="196"/>
      <c r="T53" s="196"/>
      <c r="U53" s="196"/>
      <c r="V53" s="196"/>
      <c r="W53" s="196"/>
      <c r="X53" s="196"/>
      <c r="Y53" s="196"/>
      <c r="Z53" s="196"/>
    </row>
    <row r="54" spans="1:26" ht="17.25">
      <c r="A54" s="192" t="s">
        <v>1718</v>
      </c>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spans="1:26" ht="17.25">
      <c r="A55" s="196" t="s">
        <v>2389</v>
      </c>
      <c r="B55" s="196"/>
      <c r="C55" s="196"/>
      <c r="D55" s="196"/>
      <c r="E55" s="196"/>
      <c r="F55" s="196"/>
      <c r="G55" s="196"/>
      <c r="H55" s="196"/>
      <c r="I55" s="196"/>
      <c r="J55" s="196"/>
      <c r="K55" s="196"/>
      <c r="L55" s="196"/>
      <c r="M55" s="196"/>
      <c r="N55" s="196"/>
      <c r="O55" s="196"/>
      <c r="P55" s="196"/>
      <c r="Q55" s="196"/>
      <c r="R55" s="196"/>
      <c r="S55" s="196"/>
      <c r="T55" s="196"/>
      <c r="U55" s="196"/>
      <c r="V55" s="196"/>
      <c r="W55" s="196"/>
      <c r="X55" s="196"/>
      <c r="Y55" s="196"/>
      <c r="Z55" s="196"/>
    </row>
    <row r="56" spans="1:26" ht="17.25">
      <c r="A56" s="196" t="s">
        <v>1727</v>
      </c>
      <c r="B56" s="196"/>
      <c r="C56" s="196"/>
      <c r="D56" s="196"/>
      <c r="E56" s="196"/>
      <c r="F56" s="196"/>
      <c r="G56" s="196"/>
      <c r="H56" s="196"/>
      <c r="I56" s="196"/>
      <c r="J56" s="196"/>
      <c r="K56" s="196"/>
      <c r="L56" s="196"/>
      <c r="M56" s="196"/>
      <c r="N56" s="196"/>
      <c r="O56" s="196"/>
      <c r="P56" s="196"/>
      <c r="Q56" s="196"/>
      <c r="R56" s="196"/>
      <c r="S56" s="196"/>
      <c r="T56" s="196"/>
      <c r="U56" s="196"/>
      <c r="V56" s="196"/>
      <c r="W56" s="196"/>
      <c r="X56" s="196"/>
      <c r="Y56" s="196"/>
      <c r="Z56" s="196"/>
    </row>
    <row r="57" spans="1:26" ht="17.25">
      <c r="A57" s="196"/>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spans="1:26" ht="17.25">
      <c r="A58" s="199" t="s">
        <v>1105</v>
      </c>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7.25">
      <c r="A59" s="196" t="s">
        <v>2377</v>
      </c>
      <c r="B59" s="196"/>
      <c r="C59" s="196"/>
      <c r="D59" s="196"/>
      <c r="E59" s="196"/>
      <c r="F59" s="196"/>
      <c r="G59" s="196"/>
      <c r="H59" s="196"/>
      <c r="J59" s="196"/>
      <c r="K59" s="196"/>
      <c r="L59" s="196"/>
      <c r="M59" s="196"/>
      <c r="N59" s="196"/>
      <c r="O59" s="196"/>
      <c r="P59" s="196"/>
      <c r="Q59" s="196"/>
      <c r="R59" s="196"/>
      <c r="S59" s="196"/>
      <c r="T59" s="196"/>
      <c r="U59" s="196"/>
      <c r="V59" s="196"/>
      <c r="W59" s="196"/>
      <c r="X59" s="196"/>
      <c r="Y59" s="196"/>
      <c r="Z59" s="196"/>
    </row>
    <row r="60" spans="1:26" ht="17.25">
      <c r="A60" s="196" t="s">
        <v>2375</v>
      </c>
      <c r="B60" s="196"/>
      <c r="C60" s="196"/>
      <c r="D60" s="196"/>
      <c r="E60" s="196"/>
      <c r="F60" s="196"/>
      <c r="G60" s="196"/>
      <c r="I60" s="196"/>
      <c r="J60" s="196"/>
      <c r="K60" s="196"/>
      <c r="L60" s="196"/>
      <c r="M60" s="196"/>
      <c r="N60" s="196"/>
      <c r="O60" s="196"/>
      <c r="P60" s="196"/>
      <c r="Q60" s="196"/>
      <c r="R60" s="196"/>
      <c r="S60" s="196"/>
      <c r="T60" s="196"/>
      <c r="U60" s="196"/>
      <c r="V60" s="196"/>
      <c r="W60" s="196"/>
      <c r="X60" s="196"/>
      <c r="Y60" s="196"/>
      <c r="Z60" s="196"/>
    </row>
    <row r="61" spans="1:26" ht="17.25">
      <c r="A61" s="196" t="s">
        <v>2376</v>
      </c>
      <c r="B61" s="196"/>
      <c r="C61" s="196"/>
      <c r="D61" s="196"/>
      <c r="E61" s="196"/>
      <c r="F61" s="196"/>
      <c r="G61" s="196"/>
      <c r="H61" s="196"/>
      <c r="I61" s="196"/>
      <c r="J61" s="196"/>
      <c r="K61" s="196"/>
      <c r="L61" s="196"/>
      <c r="M61" s="196"/>
      <c r="N61" s="196"/>
      <c r="O61" s="196"/>
      <c r="P61" s="196"/>
      <c r="Q61" s="196"/>
      <c r="R61" s="196"/>
      <c r="S61" s="196"/>
      <c r="T61" s="196"/>
      <c r="U61" s="196"/>
      <c r="V61" s="196"/>
      <c r="W61" s="196"/>
      <c r="X61" s="196"/>
      <c r="Y61" s="196"/>
      <c r="Z61" s="196"/>
    </row>
    <row r="62" spans="1:26" ht="17.25">
      <c r="A62" s="196" t="s">
        <v>2390</v>
      </c>
      <c r="B62" s="196"/>
      <c r="C62" s="196"/>
      <c r="D62" s="196"/>
      <c r="E62" s="196"/>
      <c r="F62" s="196"/>
      <c r="G62" s="196"/>
      <c r="H62" s="196"/>
      <c r="I62" s="196"/>
      <c r="J62" s="196"/>
      <c r="K62" s="196"/>
      <c r="L62" s="196"/>
      <c r="M62" s="196"/>
      <c r="N62" s="196"/>
      <c r="O62" s="196"/>
      <c r="P62" s="196"/>
      <c r="Q62" s="196"/>
      <c r="R62" s="196"/>
      <c r="S62" s="196"/>
      <c r="T62" s="196"/>
      <c r="U62" s="196"/>
      <c r="V62" s="196"/>
      <c r="W62" s="196"/>
      <c r="X62" s="196"/>
      <c r="Y62" s="196"/>
      <c r="Z62" s="196"/>
    </row>
    <row r="63" spans="1:26" ht="17.25">
      <c r="A63" s="196" t="s">
        <v>2408</v>
      </c>
      <c r="B63" s="196"/>
      <c r="C63" s="196"/>
      <c r="D63" s="196"/>
      <c r="E63" s="196"/>
      <c r="F63" s="196"/>
      <c r="G63" s="196"/>
      <c r="H63" s="196"/>
      <c r="I63" s="196"/>
      <c r="J63" s="196"/>
      <c r="K63" s="196"/>
      <c r="L63" s="196"/>
      <c r="M63" s="196"/>
      <c r="N63" s="196"/>
      <c r="O63" s="196"/>
      <c r="P63" s="196"/>
      <c r="Q63" s="196"/>
      <c r="R63" s="196"/>
      <c r="S63" s="196"/>
      <c r="T63" s="196"/>
      <c r="U63" s="196"/>
      <c r="V63" s="196"/>
      <c r="W63" s="196"/>
      <c r="X63" s="196"/>
      <c r="Y63" s="196"/>
      <c r="Z63" s="196"/>
    </row>
    <row r="64" spans="1:26" ht="17.25">
      <c r="A64" s="196" t="s">
        <v>1717</v>
      </c>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row>
    <row r="65" spans="1:26" ht="17.25">
      <c r="A65" s="196"/>
      <c r="B65" s="196"/>
      <c r="C65" s="196"/>
      <c r="D65" s="196"/>
      <c r="E65" s="196"/>
      <c r="F65" s="196"/>
      <c r="G65" s="196"/>
      <c r="H65" s="196"/>
      <c r="I65" s="196"/>
      <c r="J65" s="196"/>
      <c r="K65" s="196"/>
      <c r="L65" s="196"/>
      <c r="M65" s="196"/>
      <c r="N65" s="196"/>
      <c r="O65" s="196"/>
      <c r="P65" s="196"/>
      <c r="Q65" s="196"/>
      <c r="R65" s="196"/>
      <c r="S65" s="196"/>
      <c r="T65" s="196"/>
      <c r="U65" s="196"/>
      <c r="V65" s="196"/>
      <c r="W65" s="196"/>
      <c r="X65" s="196"/>
      <c r="Y65" s="196"/>
      <c r="Z65" s="196"/>
    </row>
    <row r="66" spans="1:26" ht="17.25">
      <c r="A66" s="199" t="s">
        <v>1106</v>
      </c>
      <c r="B66" s="200"/>
      <c r="C66" s="200"/>
      <c r="D66" s="200"/>
      <c r="E66" s="200"/>
      <c r="F66" s="200"/>
      <c r="G66" s="200"/>
      <c r="H66" s="200"/>
      <c r="I66" s="200"/>
      <c r="J66" s="200"/>
      <c r="K66" s="200"/>
      <c r="L66" s="200"/>
      <c r="M66" s="200"/>
      <c r="N66" s="200"/>
      <c r="O66" s="200"/>
      <c r="P66" s="200"/>
      <c r="Q66" s="200"/>
      <c r="R66" s="200"/>
      <c r="S66" s="200"/>
      <c r="T66" s="200"/>
      <c r="U66" s="200"/>
      <c r="V66" s="200"/>
      <c r="W66" s="200"/>
      <c r="X66" s="200"/>
      <c r="Y66" s="200"/>
      <c r="Z66" s="200"/>
    </row>
    <row r="67" spans="1:26" ht="17.25">
      <c r="A67" s="201" t="s">
        <v>1694</v>
      </c>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row>
    <row r="68" spans="1:26" ht="17.25">
      <c r="A68" s="201" t="s">
        <v>2391</v>
      </c>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row>
    <row r="69" spans="1:26" ht="17.25">
      <c r="A69" s="201" t="s">
        <v>1715</v>
      </c>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row>
    <row r="70" spans="1:26" ht="17.25">
      <c r="A70" s="197" t="s">
        <v>1716</v>
      </c>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row>
    <row r="71" spans="1:26" ht="17.25">
      <c r="A71" s="201" t="s">
        <v>1713</v>
      </c>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row>
    <row r="72" spans="1:26" ht="17.25">
      <c r="A72" s="197" t="s">
        <v>2392</v>
      </c>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row>
    <row r="73" spans="1:26" ht="17.25">
      <c r="A73" s="201" t="s">
        <v>1712</v>
      </c>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row>
    <row r="74" spans="1:26" ht="17.25">
      <c r="A74" s="196" t="s">
        <v>2393</v>
      </c>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row>
    <row r="75" spans="1:26" ht="17.25">
      <c r="A75" s="195" t="s">
        <v>1714</v>
      </c>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row>
    <row r="76" spans="1:26" ht="17.25">
      <c r="A76" s="201" t="s">
        <v>2394</v>
      </c>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row>
    <row r="77" spans="1:26" ht="17.25">
      <c r="A77" s="197" t="s">
        <v>2395</v>
      </c>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row>
    <row r="78" spans="1:26" ht="17.25">
      <c r="A78" s="202" t="s">
        <v>1711</v>
      </c>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row>
    <row r="79" spans="1:26" ht="17.25">
      <c r="A79" s="201" t="s">
        <v>2396</v>
      </c>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row>
    <row r="80" spans="1:26" ht="17.25">
      <c r="A80" s="197" t="s">
        <v>1710</v>
      </c>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row>
    <row r="81" spans="1:26" ht="17.25">
      <c r="A81" s="275" t="s">
        <v>1709</v>
      </c>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row>
    <row r="82" spans="1:26" ht="17.25">
      <c r="A82" s="196" t="s">
        <v>1707</v>
      </c>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row>
    <row r="83" spans="1:26" ht="17.25">
      <c r="A83" s="197" t="s">
        <v>1708</v>
      </c>
      <c r="B83" s="196"/>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row>
    <row r="84" spans="1:26" ht="17.25">
      <c r="A84" s="201" t="s">
        <v>2397</v>
      </c>
      <c r="B84" s="196"/>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row>
    <row r="85" spans="1:26" ht="17.25">
      <c r="A85" s="197" t="s">
        <v>2398</v>
      </c>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row>
    <row r="86" spans="1:26" ht="17.25">
      <c r="A86" s="203" t="s">
        <v>1691</v>
      </c>
      <c r="B86" s="196"/>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row>
    <row r="87" spans="1:26" ht="17.25">
      <c r="A87" s="196" t="s">
        <v>1706</v>
      </c>
      <c r="B87" s="196"/>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row>
    <row r="88" spans="1:26" ht="17.25">
      <c r="A88" s="203" t="s">
        <v>1692</v>
      </c>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row>
    <row r="89" spans="1:26" ht="17.25">
      <c r="A89" s="196" t="s">
        <v>2399</v>
      </c>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row>
    <row r="90" spans="1:26" ht="17.25">
      <c r="A90" s="203" t="s">
        <v>1693</v>
      </c>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row>
    <row r="91" spans="1:26" ht="17.25">
      <c r="A91" s="196" t="s">
        <v>1705</v>
      </c>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row>
    <row r="92" spans="1:26" ht="17.25">
      <c r="A92" s="196"/>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row>
    <row r="93" spans="1:26" ht="17.25">
      <c r="A93" s="199" t="s">
        <v>1107</v>
      </c>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row>
    <row r="94" spans="1:26" ht="17.25">
      <c r="A94" s="196" t="s">
        <v>1698</v>
      </c>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row>
    <row r="95" spans="1:26" ht="17.25">
      <c r="A95" s="196" t="s">
        <v>1699</v>
      </c>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row>
    <row r="96" spans="1:26" ht="17.25">
      <c r="A96" s="197" t="s">
        <v>1700</v>
      </c>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row>
    <row r="97" spans="1:26" ht="17.25">
      <c r="A97" s="196" t="s">
        <v>1701</v>
      </c>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row>
    <row r="98" spans="1:26" ht="17.25">
      <c r="A98" s="196" t="s">
        <v>1702</v>
      </c>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row>
    <row r="99" spans="1:26" ht="17.25">
      <c r="A99" s="196" t="s">
        <v>1703</v>
      </c>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row>
    <row r="100" spans="1:26" ht="17.25">
      <c r="A100" s="196" t="s">
        <v>1704</v>
      </c>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row>
    <row r="101" spans="1:26" ht="17.25">
      <c r="A101" s="196"/>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row>
    <row r="102" spans="1:26" ht="17.25">
      <c r="A102" s="194" t="s">
        <v>1108</v>
      </c>
      <c r="B102" s="198"/>
      <c r="C102" s="198"/>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row>
    <row r="103" spans="1:26" ht="17.25">
      <c r="A103" s="196" t="s">
        <v>1695</v>
      </c>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row>
    <row r="104" spans="1:26" ht="17.25">
      <c r="A104" s="196" t="s">
        <v>1696</v>
      </c>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row>
    <row r="105" spans="1:26" ht="17.25">
      <c r="A105" s="196" t="s">
        <v>2400</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row>
    <row r="106" spans="1:26" ht="17.25">
      <c r="A106" s="196" t="s">
        <v>1697</v>
      </c>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row>
    <row r="107" spans="1:26" ht="17.25">
      <c r="A107" s="196" t="s">
        <v>2401</v>
      </c>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row>
    <row r="108" spans="1:26" ht="17.25">
      <c r="A108" s="196"/>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row>
    <row r="109" spans="1:26" ht="17.25">
      <c r="A109" s="194" t="s">
        <v>1109</v>
      </c>
      <c r="B109" s="198"/>
      <c r="C109" s="198"/>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row>
    <row r="110" spans="1:26" ht="17.25">
      <c r="A110" s="196" t="s">
        <v>1688</v>
      </c>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row>
    <row r="111" spans="1:26" ht="17.25">
      <c r="A111" s="196" t="s">
        <v>2402</v>
      </c>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row>
    <row r="112" spans="1:26" ht="17.25">
      <c r="A112" s="196" t="s">
        <v>2403</v>
      </c>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row>
    <row r="113" spans="1:26" ht="17.25">
      <c r="A113" s="196" t="s">
        <v>2404</v>
      </c>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row>
    <row r="114" spans="1:26" ht="17.25">
      <c r="A114" s="196"/>
      <c r="B114" s="196"/>
      <c r="C114" s="196"/>
      <c r="D114" s="196"/>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row>
    <row r="115" spans="1:26" ht="17.25">
      <c r="A115" s="192" t="s">
        <v>1110</v>
      </c>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row>
    <row r="116" spans="1:26" ht="17.25">
      <c r="A116" s="203" t="s">
        <v>1685</v>
      </c>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row>
    <row r="117" spans="1:26" ht="17.25">
      <c r="A117" s="196" t="s">
        <v>2405</v>
      </c>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row>
    <row r="118" spans="1:26" ht="17.25">
      <c r="A118" s="203" t="s">
        <v>1686</v>
      </c>
      <c r="B118" s="196"/>
      <c r="C118" s="196"/>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row>
    <row r="119" spans="1:26" ht="17.25">
      <c r="A119" s="196" t="s">
        <v>1687</v>
      </c>
      <c r="B119" s="196"/>
      <c r="C119" s="196"/>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row>
    <row r="120" spans="1:26" ht="17.25">
      <c r="A120" s="203" t="s">
        <v>1684</v>
      </c>
      <c r="B120" s="196"/>
      <c r="C120" s="196"/>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row>
    <row r="121" spans="1:26" ht="17.25">
      <c r="A121" s="196" t="s">
        <v>2406</v>
      </c>
      <c r="B121" s="196"/>
      <c r="C121" s="196"/>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row>
    <row r="122" spans="1:26" ht="17.25">
      <c r="A122" s="203" t="s">
        <v>1683</v>
      </c>
      <c r="B122" s="196"/>
      <c r="C122" s="196"/>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row>
    <row r="123" spans="1:26" ht="17.25">
      <c r="A123" s="196" t="s">
        <v>2407</v>
      </c>
      <c r="B123" s="196"/>
      <c r="C123" s="196"/>
      <c r="D123" s="196"/>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row>
    <row r="124" spans="1:26" ht="17.25">
      <c r="A124" s="203" t="s">
        <v>1689</v>
      </c>
      <c r="B124" s="196"/>
      <c r="C124" s="196"/>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row>
    <row r="125" spans="1:26" ht="17.25">
      <c r="A125" s="196" t="s">
        <v>1690</v>
      </c>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row>
    <row r="126" spans="1:26" ht="17.25">
      <c r="A126" s="196"/>
      <c r="B126" s="196"/>
      <c r="C126" s="196"/>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row>
    <row r="127" spans="1:26" ht="17.25">
      <c r="A127" s="196"/>
      <c r="B127" s="196"/>
      <c r="C127" s="196"/>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row>
    <row r="128" spans="1:26" ht="17.25">
      <c r="A128" s="196"/>
      <c r="B128" s="196"/>
      <c r="C128" s="196"/>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row>
    <row r="129" spans="1:26" ht="17.25">
      <c r="A129" s="196"/>
      <c r="B129" s="196"/>
      <c r="C129" s="196"/>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row>
    <row r="130" spans="1:26" ht="17.25">
      <c r="A130" s="196"/>
      <c r="B130" s="196"/>
      <c r="C130" s="196"/>
      <c r="D130" s="196"/>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row>
    <row r="131" spans="1:26" ht="17.25">
      <c r="A131" s="196"/>
      <c r="B131" s="196"/>
      <c r="C131" s="196"/>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row>
    <row r="132" spans="1:26" ht="17.25">
      <c r="A132" s="196"/>
      <c r="B132" s="196"/>
      <c r="C132" s="196"/>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row>
    <row r="133" spans="1:26" ht="17.25">
      <c r="A133" s="196"/>
      <c r="B133" s="196"/>
      <c r="C133" s="196"/>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row>
    <row r="134" spans="1:26" ht="17.25">
      <c r="A134" s="196"/>
      <c r="B134" s="196"/>
      <c r="C134" s="196"/>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row>
    <row r="135" spans="1:26" ht="17.25">
      <c r="A135" s="196"/>
      <c r="B135" s="196"/>
      <c r="C135" s="196"/>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row>
    <row r="136" spans="1:26" ht="17.25">
      <c r="A136" s="196"/>
      <c r="B136" s="196"/>
      <c r="C136" s="196"/>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row>
    <row r="137" spans="1:26" ht="17.25">
      <c r="A137" s="196"/>
      <c r="B137" s="196"/>
      <c r="C137" s="196"/>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row>
    <row r="138" spans="1:26" ht="17.25">
      <c r="A138" s="196"/>
      <c r="B138" s="196"/>
      <c r="C138" s="196"/>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row>
    <row r="139" spans="1:26" ht="17.25">
      <c r="A139" s="196"/>
      <c r="B139" s="196"/>
      <c r="C139" s="196"/>
      <c r="D139" s="196"/>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row>
    <row r="140" spans="1:26" ht="17.25">
      <c r="A140" s="196"/>
      <c r="B140" s="196"/>
      <c r="C140" s="196"/>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row>
    <row r="141" spans="1:26" ht="17.25">
      <c r="A141" s="196"/>
      <c r="B141" s="196"/>
      <c r="C141" s="196"/>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row>
    <row r="142" spans="1:26" ht="17.25">
      <c r="A142" s="196"/>
      <c r="B142" s="196"/>
      <c r="C142" s="196"/>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row>
    <row r="143" spans="1:26" ht="17.25">
      <c r="A143" s="196"/>
      <c r="B143" s="196"/>
      <c r="C143" s="196"/>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row>
    <row r="144" spans="1:26" ht="17.25">
      <c r="A144" s="196"/>
      <c r="B144" s="196"/>
      <c r="C144" s="196"/>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row>
    <row r="145" spans="1:26" ht="17.25">
      <c r="A145" s="196"/>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row>
    <row r="146" spans="1:26" ht="17.25">
      <c r="A146" s="196"/>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row>
    <row r="147" spans="1:26" ht="17.25">
      <c r="A147" s="196"/>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row>
    <row r="148" spans="1:26" ht="17.25">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row>
    <row r="149" spans="1:26" ht="17.25">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row>
    <row r="150" spans="1:26" ht="17.25">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row>
    <row r="151" spans="1:26" ht="17.25">
      <c r="A151" s="196"/>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row>
    <row r="152" spans="1:26" ht="17.25">
      <c r="A152" s="196"/>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row>
    <row r="153" spans="1:26" ht="17.25">
      <c r="A153" s="196"/>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row>
    <row r="154" spans="1:26" ht="17.25">
      <c r="A154" s="196"/>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row>
    <row r="155" spans="1:26" ht="17.25">
      <c r="A155" s="196"/>
      <c r="B155" s="196"/>
      <c r="C155" s="196"/>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row>
    <row r="156" spans="1:26" ht="17.25">
      <c r="A156" s="196"/>
      <c r="B156" s="196"/>
      <c r="C156" s="196"/>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row>
    <row r="157" spans="1:26" ht="17.25">
      <c r="A157" s="196"/>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row>
    <row r="158" spans="1:26" ht="17.25">
      <c r="A158" s="196"/>
      <c r="B158" s="196"/>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row>
    <row r="159" spans="1:26" ht="17.25">
      <c r="A159" s="196"/>
      <c r="B159" s="196"/>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row>
    <row r="160" spans="1:26" ht="17.25">
      <c r="A160" s="196"/>
      <c r="B160" s="196"/>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row>
    <row r="161" spans="1:26" ht="17.25">
      <c r="A161" s="196"/>
      <c r="B161" s="196"/>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row>
    <row r="162" spans="1:26" ht="17.25">
      <c r="A162" s="196"/>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row>
    <row r="163" spans="1:26" ht="17.25">
      <c r="A163" s="196"/>
      <c r="B163" s="196"/>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row>
    <row r="164" spans="1:26" ht="17.25">
      <c r="A164" s="196"/>
      <c r="B164" s="196"/>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row>
    <row r="165" spans="1:26" ht="17.25">
      <c r="A165" s="196"/>
      <c r="B165" s="196"/>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row>
    <row r="166" spans="1:26" ht="17.25">
      <c r="A166" s="196"/>
      <c r="B166" s="196"/>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row>
    <row r="167" spans="1:26" ht="17.25">
      <c r="A167" s="196"/>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row>
    <row r="168" spans="1:26" ht="17.25">
      <c r="A168" s="196"/>
      <c r="B168" s="196"/>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row>
    <row r="169" spans="1:26" ht="17.25">
      <c r="A169" s="196"/>
      <c r="B169" s="196"/>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row>
    <row r="170" spans="1:26" ht="17.25">
      <c r="A170" s="196"/>
      <c r="B170" s="196"/>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row>
    <row r="171" spans="1:26" ht="17.25">
      <c r="A171" s="196"/>
      <c r="B171" s="196"/>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row>
    <row r="172" spans="1:26" ht="17.25">
      <c r="A172" s="196"/>
      <c r="B172" s="196"/>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row>
    <row r="173" spans="1:26" ht="17.25">
      <c r="A173" s="196"/>
      <c r="B173" s="196"/>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row>
    <row r="174" spans="1:26" ht="17.25">
      <c r="A174" s="196"/>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row>
    <row r="175" spans="1:26" ht="17.25">
      <c r="A175" s="196"/>
      <c r="B175" s="196"/>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row>
    <row r="176" spans="1:26" ht="17.25">
      <c r="A176" s="196"/>
      <c r="B176" s="196"/>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row>
    <row r="177" spans="1:26" ht="17.25">
      <c r="A177" s="196"/>
      <c r="B177" s="196"/>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row>
    <row r="178" spans="1:26" ht="17.25">
      <c r="A178" s="196"/>
      <c r="B178" s="196"/>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row>
    <row r="179" spans="1:26" ht="17.25">
      <c r="A179" s="196"/>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row>
    <row r="180" spans="1:26" ht="17.25">
      <c r="A180" s="196"/>
      <c r="B180" s="196"/>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row>
    <row r="181" spans="1:26" ht="17.25">
      <c r="A181" s="196"/>
      <c r="B181" s="196"/>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row>
    <row r="182" spans="1:26" ht="17.25">
      <c r="A182" s="196"/>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row>
    <row r="183" spans="1:26" ht="17.25">
      <c r="A183" s="196"/>
      <c r="B183" s="196"/>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row>
    <row r="184" spans="1:26" ht="17.25">
      <c r="A184" s="196"/>
      <c r="B184" s="196"/>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row>
    <row r="185" spans="1:26" ht="17.25">
      <c r="A185" s="196"/>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row>
    <row r="186" spans="1:26" ht="17.25">
      <c r="A186" s="196"/>
      <c r="B186" s="196"/>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row>
    <row r="187" spans="1:26" ht="17.25">
      <c r="A187" s="196"/>
      <c r="B187" s="196"/>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row>
    <row r="188" spans="1:26" ht="17.25">
      <c r="A188" s="196"/>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row>
    <row r="189" spans="1:26" ht="17.25">
      <c r="A189" s="196"/>
      <c r="B189" s="19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row>
    <row r="190" spans="1:26" ht="17.25">
      <c r="A190" s="196"/>
      <c r="B190" s="196"/>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row>
    <row r="191" spans="1:26" ht="17.25">
      <c r="A191" s="196"/>
      <c r="B191" s="196"/>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row>
    <row r="192" spans="1:26" ht="17.25">
      <c r="A192" s="196"/>
      <c r="B192" s="196"/>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row>
    <row r="193" spans="1:26" ht="17.25">
      <c r="A193" s="196"/>
      <c r="B193" s="196"/>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row>
    <row r="194" spans="1:26" ht="17.25">
      <c r="A194" s="196"/>
      <c r="B194" s="196"/>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row>
    <row r="195" spans="1:26" ht="17.25">
      <c r="A195" s="196"/>
      <c r="B195" s="196"/>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row>
    <row r="196" spans="1:26" ht="17.25">
      <c r="A196" s="196"/>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row>
    <row r="197" spans="1:26" ht="17.25">
      <c r="A197" s="196"/>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row>
    <row r="198" spans="1:26" ht="17.25">
      <c r="A198" s="196"/>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row>
    <row r="199" spans="1:26" ht="17.25">
      <c r="A199" s="196"/>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row>
    <row r="200" spans="1:26" ht="17.25">
      <c r="A200" s="196"/>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row>
    <row r="201" spans="1:26" ht="17.25">
      <c r="A201" s="196"/>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row>
    <row r="202" spans="1:26" ht="17.25">
      <c r="A202" s="196"/>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row>
    <row r="203" spans="1:26" ht="17.25">
      <c r="A203" s="196"/>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row>
    <row r="204" spans="1:26" ht="17.25">
      <c r="A204" s="196"/>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row>
    <row r="205" spans="1:26" ht="17.25">
      <c r="A205" s="196"/>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row>
    <row r="206" spans="1:26" ht="17.25">
      <c r="A206" s="196"/>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row>
    <row r="207" spans="1:26" ht="17.25">
      <c r="A207" s="196"/>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row>
    <row r="208" spans="1:26" ht="17.25">
      <c r="A208" s="196"/>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row>
    <row r="209" spans="1:26" ht="17.25">
      <c r="A209" s="196"/>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row>
    <row r="210" spans="1:26" ht="17.25">
      <c r="A210" s="196"/>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row>
    <row r="211" spans="1:26" ht="17.25">
      <c r="A211" s="196"/>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row>
    <row r="212" spans="1:26" ht="17.25">
      <c r="A212" s="196"/>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row>
    <row r="213" spans="1:26" ht="17.25">
      <c r="A213" s="196"/>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row>
    <row r="214" spans="1:26" ht="17.25">
      <c r="A214" s="196"/>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row>
    <row r="215" spans="1:26" ht="17.25">
      <c r="A215" s="196"/>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row>
    <row r="216" spans="1:26" ht="17.25">
      <c r="A216" s="196"/>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row>
    <row r="217" spans="1:26" ht="17.25">
      <c r="A217" s="196"/>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row>
    <row r="218" spans="1:26" ht="17.25">
      <c r="A218" s="196"/>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row>
    <row r="219" spans="1:26" ht="17.25">
      <c r="A219" s="196"/>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row>
    <row r="220" spans="1:26" ht="17.25">
      <c r="A220" s="196"/>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row>
    <row r="221" spans="1:26" ht="17.25">
      <c r="A221" s="196"/>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row>
    <row r="222" spans="1:26" ht="17.25">
      <c r="A222" s="196"/>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row>
    <row r="223" spans="1:26" ht="17.25">
      <c r="A223" s="196"/>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row>
    <row r="224" spans="1:26" ht="17.25">
      <c r="A224" s="196"/>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row>
    <row r="225" spans="1:26" ht="17.25">
      <c r="A225" s="196"/>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row>
    <row r="226" spans="1:26" ht="17.25">
      <c r="A226" s="196"/>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row>
    <row r="227" spans="1:26" ht="17.25">
      <c r="A227" s="196"/>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row>
    <row r="228" spans="1:26" ht="17.25">
      <c r="A228" s="196"/>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row>
    <row r="229" spans="1:26" ht="17.25">
      <c r="A229" s="196"/>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row>
    <row r="230" spans="1:26" ht="17.25">
      <c r="A230" s="196"/>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row>
    <row r="231" spans="1:26" ht="17.25">
      <c r="A231" s="196"/>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row>
    <row r="232" spans="1:26" ht="17.25">
      <c r="A232" s="196"/>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row>
    <row r="233" spans="1:26" ht="17.25">
      <c r="A233" s="196"/>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row>
    <row r="234" spans="1:26" ht="17.25">
      <c r="A234" s="196"/>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row>
    <row r="235" spans="1:26" ht="17.25">
      <c r="A235" s="196"/>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row>
    <row r="236" spans="1:26" ht="17.25">
      <c r="A236" s="196"/>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row>
    <row r="237" spans="1:26" ht="17.25">
      <c r="A237" s="196"/>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row>
    <row r="238" spans="1:26" ht="17.25">
      <c r="A238" s="196"/>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spans="1:26" ht="17.25">
      <c r="A239" s="196"/>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row>
    <row r="240" spans="1:26" ht="17.25">
      <c r="A240" s="196"/>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spans="1:26" ht="17.25">
      <c r="A241" s="196"/>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row>
    <row r="242" spans="1:26" ht="17.25">
      <c r="A242" s="196"/>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spans="1:26" ht="17.25">
      <c r="A243" s="196"/>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row>
    <row r="244" spans="1:26" ht="17.25">
      <c r="A244" s="196"/>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spans="1:26" ht="17.25">
      <c r="A245" s="196"/>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row>
    <row r="246" spans="1:26" ht="17.25">
      <c r="A246" s="196"/>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row>
    <row r="247" spans="1:26" ht="17.25">
      <c r="A247" s="196"/>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row>
    <row r="248" spans="1:26" ht="17.25">
      <c r="A248" s="196"/>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row>
    <row r="249" spans="1:26" ht="17.25">
      <c r="A249" s="196"/>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row>
    <row r="250" spans="1:26" ht="17.25">
      <c r="A250" s="196"/>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row>
    <row r="251" spans="1:26" ht="17.25">
      <c r="A251" s="196"/>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row>
    <row r="252" spans="1:26" ht="17.25">
      <c r="A252" s="196"/>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row>
    <row r="253" spans="1:26" ht="17.25">
      <c r="A253" s="196"/>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row>
    <row r="254" spans="1:26" ht="17.25">
      <c r="A254" s="196"/>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row>
    <row r="255" spans="1:26" ht="17.25">
      <c r="A255" s="196"/>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row>
    <row r="256" spans="1:26" ht="17.25">
      <c r="A256" s="196"/>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row>
    <row r="257" spans="1:26" ht="17.25">
      <c r="A257" s="196"/>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row>
    <row r="258" spans="1:26" ht="17.25">
      <c r="A258" s="196"/>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row>
    <row r="259" spans="1:26" ht="17.25">
      <c r="A259" s="196"/>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row>
    <row r="260" spans="1:26" ht="17.25">
      <c r="A260" s="196"/>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row>
    <row r="261" spans="1:26" ht="17.25">
      <c r="A261" s="196"/>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row>
    <row r="262" spans="1:26" ht="17.25">
      <c r="A262" s="196"/>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row>
    <row r="263" spans="1:26" ht="17.25">
      <c r="A263" s="196"/>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row>
    <row r="264" spans="1:26" ht="17.25">
      <c r="A264" s="196"/>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row>
    <row r="265" spans="1:26" ht="17.25">
      <c r="A265" s="196"/>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row>
    <row r="266" spans="1:26" ht="17.25">
      <c r="A266" s="196"/>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row>
    <row r="267" spans="1:26" ht="17.25">
      <c r="A267" s="196"/>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row>
    <row r="268" spans="1:26" ht="17.25">
      <c r="A268" s="196"/>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row>
    <row r="269" spans="1:26" ht="17.25">
      <c r="A269" s="196"/>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row>
    <row r="270" spans="1:26" ht="17.25">
      <c r="A270" s="196"/>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row>
    <row r="271" spans="1:26" ht="17.25">
      <c r="A271" s="196"/>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row>
    <row r="272" spans="1:26" ht="17.25">
      <c r="A272" s="196"/>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row>
    <row r="273" spans="1:26" ht="17.25">
      <c r="A273" s="196"/>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row>
    <row r="274" spans="1:26" ht="17.25">
      <c r="A274" s="196"/>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row>
    <row r="275" spans="1:26" ht="17.25">
      <c r="A275" s="196"/>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row>
    <row r="276" spans="1:26" ht="17.25">
      <c r="A276" s="196"/>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row>
    <row r="277" spans="1:26" ht="17.25">
      <c r="A277" s="196"/>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row>
    <row r="278" spans="1:26" ht="17.25">
      <c r="A278" s="196"/>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row>
    <row r="279" spans="1:26" ht="17.25">
      <c r="A279" s="196"/>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row>
    <row r="280" spans="1:26" ht="17.25">
      <c r="A280" s="196"/>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row>
    <row r="281" spans="1:26" ht="17.25">
      <c r="A281" s="196"/>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row>
    <row r="282" spans="1:26" ht="17.25">
      <c r="A282" s="196"/>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row>
    <row r="283" spans="1:26" ht="17.25">
      <c r="A283" s="196"/>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row>
    <row r="284" spans="1:26" ht="17.25">
      <c r="A284" s="196"/>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row>
    <row r="285" spans="1:26" ht="17.25">
      <c r="A285" s="196"/>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row>
    <row r="286" spans="1:26" ht="17.25">
      <c r="A286" s="196"/>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row>
    <row r="287" spans="1:26" ht="17.25">
      <c r="A287" s="196"/>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row>
    <row r="288" spans="1:26" ht="17.25">
      <c r="A288" s="196"/>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row>
    <row r="289" spans="1:26" ht="17.25">
      <c r="A289" s="196"/>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row>
    <row r="290" spans="1:26" ht="17.25">
      <c r="A290" s="196"/>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row>
    <row r="291" spans="1:26" ht="17.25">
      <c r="A291" s="196"/>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row>
    <row r="292" spans="1:26" ht="17.25">
      <c r="A292" s="196"/>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row>
    <row r="293" spans="1:26" ht="17.25">
      <c r="A293" s="196"/>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row>
    <row r="294" spans="1:26" ht="17.25">
      <c r="A294" s="196"/>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row>
    <row r="295" spans="1:26" ht="17.25">
      <c r="A295" s="196"/>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row>
    <row r="296" spans="1:26" ht="17.25">
      <c r="A296" s="196"/>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row>
    <row r="297" spans="1:26" ht="17.25">
      <c r="A297" s="196"/>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row>
    <row r="298" spans="1:26" ht="17.25">
      <c r="A298" s="196"/>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row>
    <row r="299" spans="1:26" ht="17.25">
      <c r="A299" s="196"/>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row>
    <row r="300" spans="1:26" ht="17.25">
      <c r="A300" s="196"/>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row>
    <row r="301" spans="1:26" ht="17.25">
      <c r="A301" s="196"/>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row>
    <row r="302" spans="1:26" ht="17.25">
      <c r="A302" s="196"/>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row>
    <row r="303" spans="1:26" ht="17.25">
      <c r="A303" s="196"/>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row>
    <row r="304" spans="1:26" ht="17.25">
      <c r="A304" s="196"/>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row>
    <row r="305" spans="1:26" ht="17.25">
      <c r="A305" s="196"/>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row>
    <row r="306" spans="1:26" ht="17.25">
      <c r="A306" s="196"/>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row>
    <row r="307" spans="1:26" ht="17.25">
      <c r="A307" s="196"/>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row>
    <row r="308" spans="1:26" ht="17.25">
      <c r="A308" s="196"/>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row>
    <row r="309" spans="1:26" ht="17.25">
      <c r="A309" s="196"/>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row>
    <row r="310" spans="1:26" ht="17.25">
      <c r="A310" s="196"/>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row>
    <row r="311" spans="1:26" ht="17.25">
      <c r="A311" s="196"/>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row>
    <row r="312" spans="1:26" ht="17.25">
      <c r="A312" s="196"/>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row>
    <row r="313" spans="1:26" ht="17.25">
      <c r="A313" s="196"/>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row>
    <row r="314" spans="1:26" ht="17.25">
      <c r="A314" s="196"/>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row>
    <row r="315" spans="1:26" ht="17.25">
      <c r="A315" s="196"/>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row>
    <row r="316" spans="1:26" ht="17.25">
      <c r="A316" s="196"/>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row>
    <row r="317" spans="1:26" ht="17.25">
      <c r="A317" s="196"/>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row>
    <row r="318" spans="1:26" ht="17.25">
      <c r="A318" s="196"/>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row>
    <row r="319" spans="1:26" ht="17.25">
      <c r="A319" s="196"/>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row>
    <row r="320" spans="1:26" ht="17.25">
      <c r="A320" s="196"/>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row>
    <row r="321" spans="1:26" ht="17.25">
      <c r="A321" s="196"/>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row>
    <row r="322" spans="1:26" ht="17.25">
      <c r="A322" s="196"/>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row>
    <row r="323" spans="1:26" ht="17.25">
      <c r="A323" s="196"/>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row>
    <row r="324" spans="1:26" ht="17.25">
      <c r="A324" s="196"/>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row>
    <row r="325" spans="1:26" ht="17.25">
      <c r="A325" s="196"/>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row>
    <row r="326" spans="1:26" ht="17.25">
      <c r="A326" s="196"/>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row>
    <row r="327" spans="1:26" ht="17.25">
      <c r="A327" s="196"/>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row>
    <row r="328" spans="1:26" ht="17.25">
      <c r="A328" s="196"/>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row>
    <row r="329" spans="1:26" ht="17.25">
      <c r="A329" s="196"/>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row>
    <row r="330" spans="1:26" ht="17.25">
      <c r="A330" s="196"/>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row>
    <row r="331" spans="1:26" ht="17.25">
      <c r="A331" s="196"/>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row>
    <row r="332" spans="1:26" ht="17.25">
      <c r="A332" s="196"/>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row>
    <row r="333" spans="1:26" ht="17.25">
      <c r="A333" s="196"/>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row>
    <row r="334" spans="1:26" ht="17.25">
      <c r="A334" s="196"/>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row>
    <row r="335" spans="1:26" ht="17.25">
      <c r="A335" s="196"/>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row>
    <row r="336" spans="1:26" ht="17.25">
      <c r="A336" s="196"/>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row>
    <row r="337" spans="1:26" ht="17.25">
      <c r="A337" s="196"/>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row>
    <row r="338" spans="1:26" ht="17.25">
      <c r="A338" s="196"/>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row>
    <row r="339" spans="1:26" ht="17.25">
      <c r="A339" s="196"/>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row>
    <row r="340" spans="1:26" ht="17.25">
      <c r="A340" s="196"/>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row>
    <row r="341" spans="1:26" ht="17.25">
      <c r="A341" s="196"/>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row>
    <row r="342" spans="1:26" ht="17.25">
      <c r="A342" s="196"/>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row>
    <row r="343" spans="1:26" ht="17.25">
      <c r="A343" s="196"/>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row>
    <row r="344" spans="1:26" ht="17.25">
      <c r="A344" s="196"/>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row>
    <row r="345" spans="1:26" ht="17.25">
      <c r="A345" s="196"/>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row>
    <row r="346" spans="1:26" ht="17.25">
      <c r="A346" s="196"/>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row>
    <row r="347" spans="1:26" ht="17.25">
      <c r="A347" s="196"/>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row>
    <row r="348" spans="1:26" ht="17.25">
      <c r="A348" s="196"/>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row>
    <row r="349" spans="1:26" ht="17.25">
      <c r="A349" s="196"/>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row>
    <row r="350" spans="1:26" ht="17.25">
      <c r="A350" s="196"/>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row>
    <row r="351" spans="1:26" ht="17.25">
      <c r="A351" s="196"/>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row>
    <row r="352" spans="1:26" ht="17.25">
      <c r="A352" s="196"/>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row>
    <row r="353" spans="1:26" ht="17.25">
      <c r="A353" s="196"/>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row>
    <row r="354" spans="1:26" ht="17.25">
      <c r="A354" s="196"/>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row>
    <row r="355" spans="1:26" ht="17.25">
      <c r="A355" s="196"/>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row>
    <row r="356" spans="1:26" ht="17.25">
      <c r="A356" s="196"/>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row>
    <row r="357" spans="1:26" ht="17.25">
      <c r="A357" s="196"/>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row>
    <row r="358" spans="1:26" ht="17.25">
      <c r="A358" s="196"/>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row>
    <row r="359" spans="1:26" ht="17.25">
      <c r="A359" s="196"/>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row>
    <row r="360" spans="1:26" ht="17.25">
      <c r="A360" s="196"/>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row>
    <row r="361" spans="1:26" ht="17.25">
      <c r="A361" s="196"/>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row>
    <row r="362" spans="1:26" ht="17.25">
      <c r="A362" s="196"/>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row>
    <row r="363" spans="1:26" ht="17.25">
      <c r="A363" s="196"/>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row>
    <row r="364" spans="1:26" ht="17.25">
      <c r="A364" s="196"/>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row>
    <row r="365" spans="1:26" ht="17.25">
      <c r="A365" s="196"/>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row>
    <row r="366" spans="1:26" ht="17.25">
      <c r="A366" s="196"/>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row>
    <row r="367" spans="1:26" ht="17.25">
      <c r="A367" s="196"/>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row>
    <row r="368" spans="1:26" ht="17.25">
      <c r="A368" s="196"/>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row>
    <row r="369" spans="1:26" ht="17.25">
      <c r="A369" s="196"/>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row>
    <row r="370" spans="1:26" ht="17.25">
      <c r="A370" s="196"/>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row>
    <row r="371" spans="1:26" ht="17.25">
      <c r="A371" s="196"/>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row>
    <row r="372" spans="1:26" ht="17.25">
      <c r="A372" s="196"/>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row>
    <row r="373" spans="1:26" ht="17.25">
      <c r="A373" s="196"/>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row>
    <row r="374" spans="1:26" ht="17.25">
      <c r="A374" s="196"/>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row>
    <row r="375" spans="1:26" ht="17.25">
      <c r="A375" s="196"/>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row>
    <row r="376" spans="1:26" ht="17.25">
      <c r="A376" s="196"/>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row>
    <row r="377" spans="1:26" ht="17.25">
      <c r="A377" s="196"/>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row>
    <row r="378" spans="1:26" ht="17.25">
      <c r="A378" s="196"/>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row>
    <row r="379" spans="1:26" ht="17.25">
      <c r="A379" s="196"/>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row>
    <row r="380" spans="1:26" ht="17.25">
      <c r="A380" s="196"/>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row>
    <row r="381" spans="1:26" ht="17.25">
      <c r="A381" s="196"/>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row>
    <row r="382" spans="1:26" ht="17.25">
      <c r="A382" s="196"/>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row>
    <row r="383" spans="1:26" ht="17.25">
      <c r="A383" s="196"/>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row>
    <row r="384" spans="1:26" ht="17.25">
      <c r="A384" s="196"/>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row>
    <row r="385" spans="1:26" ht="17.25">
      <c r="A385" s="196"/>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row>
    <row r="386" spans="1:26" ht="17.25">
      <c r="A386" s="196"/>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row>
    <row r="387" spans="1:26" ht="17.25">
      <c r="A387" s="196"/>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row>
    <row r="388" spans="1:26" ht="17.25">
      <c r="A388" s="196"/>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row>
    <row r="389" spans="1:26" ht="17.25">
      <c r="A389" s="196"/>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row>
    <row r="390" spans="1:26" ht="17.25">
      <c r="A390" s="196"/>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row>
    <row r="391" spans="1:26" ht="17.25">
      <c r="A391" s="196"/>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row>
    <row r="392" spans="1:26" ht="17.25">
      <c r="A392" s="196"/>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row>
    <row r="393" spans="1:26" ht="17.25">
      <c r="A393" s="196"/>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row>
    <row r="394" spans="1:26" ht="17.25">
      <c r="A394" s="196"/>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row>
    <row r="395" spans="1:26" ht="17.25">
      <c r="A395" s="196"/>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row>
    <row r="396" spans="1:26" ht="17.25">
      <c r="A396" s="196"/>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row>
    <row r="397" spans="1:26" ht="17.25">
      <c r="A397" s="196"/>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row>
    <row r="398" spans="1:26" ht="17.25">
      <c r="A398" s="196"/>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row>
    <row r="399" spans="1:26" ht="17.25">
      <c r="A399" s="196"/>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row>
    <row r="400" spans="1:26" ht="17.25">
      <c r="A400" s="196"/>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row>
    <row r="401" spans="1:26" ht="17.25">
      <c r="A401" s="196"/>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row>
    <row r="402" spans="1:26" ht="17.25">
      <c r="A402" s="196"/>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row>
    <row r="403" spans="1:26" ht="17.25">
      <c r="A403" s="196"/>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row>
    <row r="404" spans="1:26" ht="17.25">
      <c r="A404" s="196"/>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row>
    <row r="405" spans="1:26" ht="17.25">
      <c r="A405" s="196"/>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row>
    <row r="406" spans="1:26" ht="17.25">
      <c r="A406" s="196"/>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row>
    <row r="407" spans="1:26" ht="17.25">
      <c r="A407" s="196"/>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row>
    <row r="408" spans="1:26" ht="17.25">
      <c r="A408" s="196"/>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row>
    <row r="409" spans="1:26" ht="17.25">
      <c r="A409" s="196"/>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row>
    <row r="410" spans="1:26" ht="17.25">
      <c r="A410" s="196"/>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row>
    <row r="411" spans="1:26" ht="17.25">
      <c r="A411" s="196"/>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row>
    <row r="412" spans="1:26" ht="17.25">
      <c r="A412" s="196"/>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row>
    <row r="413" spans="1:26" ht="17.25">
      <c r="A413" s="196"/>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row>
    <row r="414" spans="1:26" ht="17.25">
      <c r="A414" s="196"/>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row>
    <row r="415" spans="1:26" ht="17.25">
      <c r="A415" s="196"/>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row>
    <row r="416" spans="1:26" ht="17.25">
      <c r="A416" s="196"/>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row>
    <row r="417" spans="1:26" ht="17.25">
      <c r="A417" s="196"/>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row>
    <row r="418" spans="1:26" ht="17.25">
      <c r="A418" s="196"/>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row>
    <row r="419" spans="1:26" ht="17.25">
      <c r="A419" s="196"/>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row>
    <row r="420" spans="1:26" ht="17.25">
      <c r="A420" s="196"/>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row>
    <row r="421" spans="1:26" ht="17.25">
      <c r="A421" s="196"/>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row>
    <row r="422" spans="1:26" ht="17.25">
      <c r="A422" s="196"/>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row>
    <row r="423" spans="1:26" ht="17.25">
      <c r="A423" s="196"/>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row>
    <row r="424" spans="1:26" ht="17.25">
      <c r="A424" s="196"/>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row>
    <row r="425" spans="1:26" ht="17.25">
      <c r="A425" s="196"/>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row>
    <row r="426" spans="1:26" ht="17.25">
      <c r="A426" s="196"/>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row>
    <row r="427" spans="1:26" ht="17.25">
      <c r="A427" s="196"/>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row>
    <row r="428" spans="1:26" ht="17.25">
      <c r="A428" s="196"/>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row>
    <row r="429" spans="1:26" ht="17.25">
      <c r="A429" s="196"/>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row>
    <row r="430" spans="1:26" ht="17.25">
      <c r="A430" s="196"/>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row>
    <row r="431" spans="1:26" ht="17.25">
      <c r="A431" s="196"/>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row>
    <row r="432" spans="1:26" ht="17.25">
      <c r="A432" s="196"/>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row>
    <row r="433" spans="1:26" ht="17.25">
      <c r="A433" s="196"/>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row>
    <row r="434" spans="1:26" ht="17.25">
      <c r="A434" s="196"/>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row>
    <row r="435" spans="1:26" ht="17.25">
      <c r="A435" s="196"/>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row>
    <row r="436" spans="1:26" ht="17.25">
      <c r="A436" s="196"/>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row>
    <row r="437" spans="1:26" ht="17.25">
      <c r="A437" s="196"/>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row>
    <row r="438" spans="1:26" ht="17.25">
      <c r="A438" s="196"/>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row>
    <row r="439" spans="1:26" ht="17.25">
      <c r="A439" s="196"/>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row>
    <row r="440" spans="1:26" ht="17.25">
      <c r="A440" s="196"/>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row>
    <row r="441" spans="1:26" ht="17.25">
      <c r="A441" s="196"/>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row>
    <row r="442" spans="1:26" ht="17.25">
      <c r="A442" s="196"/>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row>
    <row r="443" spans="1:26" ht="17.25">
      <c r="A443" s="196"/>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row>
    <row r="444" spans="1:26" ht="17.25">
      <c r="A444" s="196"/>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row>
    <row r="445" spans="1:26" ht="17.25">
      <c r="A445" s="196"/>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row>
    <row r="446" spans="1:26" ht="17.25">
      <c r="A446" s="196"/>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row>
    <row r="447" spans="1:26" ht="17.25">
      <c r="A447" s="196"/>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row>
    <row r="448" spans="1:26" ht="17.25">
      <c r="A448" s="196"/>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row>
    <row r="449" spans="1:26" ht="17.25">
      <c r="A449" s="196"/>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row>
    <row r="450" spans="1:26" ht="17.25">
      <c r="A450" s="196"/>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row>
    <row r="451" spans="1:26" ht="17.25">
      <c r="A451" s="196"/>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row>
    <row r="452" spans="1:26" ht="17.25">
      <c r="A452" s="196"/>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row>
    <row r="453" spans="1:26" ht="17.25">
      <c r="A453" s="196"/>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row>
    <row r="454" spans="1:26" ht="17.25">
      <c r="A454" s="196"/>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row>
    <row r="455" spans="1:26" ht="17.25">
      <c r="A455" s="196"/>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row>
    <row r="456" spans="1:26" ht="17.25">
      <c r="A456" s="196"/>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row>
    <row r="457" spans="1:26" ht="17.25">
      <c r="A457" s="196"/>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row>
    <row r="458" spans="1:26" ht="17.25">
      <c r="A458" s="196"/>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row>
    <row r="459" spans="1:26" ht="17.25">
      <c r="A459" s="196"/>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row>
    <row r="460" spans="1:26" ht="17.25">
      <c r="A460" s="196"/>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row>
    <row r="461" spans="1:26" ht="17.25">
      <c r="A461" s="196"/>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row>
    <row r="462" spans="1:26" ht="17.25">
      <c r="A462" s="196"/>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row>
    <row r="463" spans="1:26" ht="17.25">
      <c r="A463" s="196"/>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row>
    <row r="464" spans="1:26" ht="17.25">
      <c r="A464" s="196"/>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row>
    <row r="465" spans="1:26" ht="17.25">
      <c r="A465" s="196"/>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row>
    <row r="466" spans="1:26" ht="17.25">
      <c r="A466" s="196"/>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row>
    <row r="467" spans="1:26" ht="17.25">
      <c r="A467" s="196"/>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row>
    <row r="468" spans="1:26" ht="17.25">
      <c r="A468" s="196"/>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row>
    <row r="469" spans="1:26" ht="17.25">
      <c r="A469" s="196"/>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row>
    <row r="470" spans="1:26" ht="17.25">
      <c r="A470" s="196"/>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row>
    <row r="471" spans="1:26" ht="17.25">
      <c r="A471" s="196"/>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row>
    <row r="472" spans="1:26" ht="17.25">
      <c r="A472" s="196"/>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row>
    <row r="473" spans="1:26" ht="17.25">
      <c r="A473" s="196"/>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row>
    <row r="474" spans="1:26" ht="17.25">
      <c r="A474" s="196"/>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row>
    <row r="475" spans="1:26" ht="17.25">
      <c r="A475" s="196"/>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row>
    <row r="476" spans="1:26" ht="17.25">
      <c r="A476" s="196"/>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row>
    <row r="477" spans="1:26" ht="17.25">
      <c r="A477" s="196"/>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row>
    <row r="478" spans="1:26" ht="17.25">
      <c r="A478" s="196"/>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row>
    <row r="479" spans="1:26" ht="17.25">
      <c r="A479" s="196"/>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row>
    <row r="480" spans="1:26" ht="17.25">
      <c r="A480" s="196"/>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row>
    <row r="481" spans="1:26" ht="17.25">
      <c r="A481" s="196"/>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row>
    <row r="482" spans="1:26" ht="17.25">
      <c r="A482" s="196"/>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row>
    <row r="483" spans="1:26" ht="17.25">
      <c r="A483" s="196"/>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row>
    <row r="484" spans="1:26" ht="17.25">
      <c r="A484" s="196"/>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row>
    <row r="485" spans="1:26" ht="17.25">
      <c r="A485" s="196"/>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row>
    <row r="486" spans="1:26" ht="17.25">
      <c r="A486" s="196"/>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row>
    <row r="487" spans="1:26" ht="17.25">
      <c r="A487" s="196"/>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row>
    <row r="488" spans="1:26" ht="17.25">
      <c r="A488" s="196"/>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row>
    <row r="489" spans="1:26" ht="17.25">
      <c r="A489" s="196"/>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row>
    <row r="490" spans="1:26" ht="17.25">
      <c r="A490" s="196"/>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row>
    <row r="491" spans="1:26" ht="17.25">
      <c r="A491" s="196"/>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row>
    <row r="492" spans="1:26" ht="17.25">
      <c r="A492" s="196"/>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row>
    <row r="493" spans="1:26" ht="17.25">
      <c r="A493" s="196"/>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row>
    <row r="494" spans="1:26" ht="17.25">
      <c r="A494" s="196"/>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row>
    <row r="495" spans="1:26" ht="17.25">
      <c r="A495" s="196"/>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row>
    <row r="496" spans="1:26" ht="17.25">
      <c r="A496" s="196"/>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row>
    <row r="497" spans="1:26" ht="17.25">
      <c r="A497" s="196"/>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row>
    <row r="498" spans="1:26" ht="17.25">
      <c r="A498" s="196"/>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row>
    <row r="499" spans="1:26" ht="17.25">
      <c r="A499" s="196"/>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row>
    <row r="500" spans="1:26" ht="17.25">
      <c r="A500" s="196"/>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row>
    <row r="501" spans="1:26" ht="17.25">
      <c r="A501" s="196"/>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row>
    <row r="502" spans="1:26" ht="17.25">
      <c r="A502" s="196"/>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row>
    <row r="503" spans="1:26" ht="17.25">
      <c r="A503" s="196"/>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row>
    <row r="504" spans="1:26" ht="17.25">
      <c r="A504" s="196"/>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row>
    <row r="505" spans="1:26" ht="17.25">
      <c r="A505" s="196"/>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row>
    <row r="506" spans="1:26" ht="17.25">
      <c r="A506" s="196"/>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row>
    <row r="507" spans="1:26" ht="17.25">
      <c r="A507" s="196"/>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row>
    <row r="508" spans="1:26" ht="17.25">
      <c r="A508" s="196"/>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row>
    <row r="509" spans="1:26" ht="17.25">
      <c r="A509" s="196"/>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row>
    <row r="510" spans="1:26" ht="17.25">
      <c r="A510" s="196"/>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row>
    <row r="511" spans="1:26" ht="17.25">
      <c r="A511" s="196"/>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row>
    <row r="512" spans="1:26" ht="17.25">
      <c r="A512" s="196"/>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row>
    <row r="513" spans="1:26" ht="17.25">
      <c r="A513" s="196"/>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row>
    <row r="514" spans="1:26" ht="17.25">
      <c r="A514" s="196"/>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row>
    <row r="515" spans="1:26" ht="17.25">
      <c r="A515" s="196"/>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row>
    <row r="516" spans="1:26" ht="17.25">
      <c r="A516" s="196"/>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row>
    <row r="517" spans="1:26" ht="17.25">
      <c r="A517" s="196"/>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row>
    <row r="518" spans="1:26" ht="17.25">
      <c r="A518" s="196"/>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row>
    <row r="519" spans="1:26" ht="17.25">
      <c r="A519" s="196"/>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row>
    <row r="520" spans="1:26" ht="17.25">
      <c r="A520" s="196"/>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row>
    <row r="521" spans="1:26" ht="17.25">
      <c r="A521" s="196"/>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row>
    <row r="522" spans="1:26" ht="17.25">
      <c r="A522" s="196"/>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row>
    <row r="523" spans="1:26" ht="17.25">
      <c r="A523" s="196"/>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row>
    <row r="524" spans="1:26" ht="17.25">
      <c r="A524" s="196"/>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row>
    <row r="525" spans="1:26" ht="17.25">
      <c r="A525" s="196"/>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row>
    <row r="526" spans="1:26" ht="17.25">
      <c r="A526" s="196"/>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row>
    <row r="527" spans="1:26" ht="17.25">
      <c r="A527" s="196"/>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row>
    <row r="528" spans="1:26" ht="17.25">
      <c r="A528" s="196"/>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row>
    <row r="529" spans="1:26" ht="17.25">
      <c r="A529" s="196"/>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row>
    <row r="530" spans="1:26" ht="17.25">
      <c r="A530" s="196"/>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row>
    <row r="531" spans="1:26" ht="17.25">
      <c r="A531" s="196"/>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row>
    <row r="532" spans="1:26" ht="17.25">
      <c r="A532" s="196"/>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row>
    <row r="533" spans="1:26" ht="17.25">
      <c r="A533" s="196"/>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row>
    <row r="534" spans="1:26" ht="17.25">
      <c r="A534" s="196"/>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row>
    <row r="535" spans="1:26" ht="17.25">
      <c r="A535" s="196"/>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row>
    <row r="536" spans="1:26" ht="17.25">
      <c r="A536" s="196"/>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row>
    <row r="537" spans="1:26" ht="17.25">
      <c r="A537" s="196"/>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row>
    <row r="538" spans="1:26" ht="17.25">
      <c r="A538" s="196"/>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row>
    <row r="539" spans="1:26" ht="17.25">
      <c r="A539" s="196"/>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row>
    <row r="540" spans="1:26" ht="17.25">
      <c r="A540" s="196"/>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row>
    <row r="541" spans="1:26" ht="17.25">
      <c r="A541" s="196"/>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row>
    <row r="542" spans="1:26" ht="17.25">
      <c r="A542" s="196"/>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row>
    <row r="543" spans="1:26" ht="17.25">
      <c r="A543" s="196"/>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row>
    <row r="544" spans="1:26" ht="17.25">
      <c r="A544" s="196"/>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row>
    <row r="545" spans="1:26" ht="17.25">
      <c r="A545" s="196"/>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row>
    <row r="546" spans="1:26" ht="17.25">
      <c r="A546" s="196"/>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row>
    <row r="547" spans="1:26" ht="17.25">
      <c r="A547" s="196"/>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row>
    <row r="548" spans="1:26" ht="17.25">
      <c r="A548" s="196"/>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row>
    <row r="549" spans="1:26" ht="17.25">
      <c r="A549" s="196"/>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row>
    <row r="550" spans="1:26" ht="17.25">
      <c r="A550" s="196"/>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row>
    <row r="551" spans="1:26" ht="17.25">
      <c r="A551" s="196"/>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row>
    <row r="552" spans="1:26" ht="17.25">
      <c r="A552" s="196"/>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row>
    <row r="553" spans="1:26" ht="17.25">
      <c r="A553" s="196"/>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row>
    <row r="554" spans="1:26" ht="17.25">
      <c r="A554" s="196"/>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row>
    <row r="555" spans="1:26" ht="17.25">
      <c r="A555" s="196"/>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row>
    <row r="556" spans="1:26" ht="17.25">
      <c r="A556" s="196"/>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row>
    <row r="557" spans="1:26" ht="17.25">
      <c r="A557" s="196"/>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row>
    <row r="558" spans="1:26" ht="17.25">
      <c r="A558" s="196"/>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row>
    <row r="559" spans="1:26" ht="17.25">
      <c r="A559" s="196"/>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row>
    <row r="560" spans="1:26" ht="17.25">
      <c r="A560" s="196"/>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row>
    <row r="561" spans="1:26" ht="17.25">
      <c r="A561" s="196"/>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row>
    <row r="562" spans="1:26" ht="17.25">
      <c r="A562" s="196"/>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row>
    <row r="563" spans="1:26" ht="17.25">
      <c r="A563" s="196"/>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row>
    <row r="564" spans="1:26" ht="17.25">
      <c r="A564" s="196"/>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row>
    <row r="565" spans="1:26" ht="17.25">
      <c r="A565" s="196"/>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row>
    <row r="566" spans="1:26" ht="17.25">
      <c r="A566" s="196"/>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row>
    <row r="567" spans="1:26" ht="17.25">
      <c r="A567" s="196"/>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row>
    <row r="568" spans="1:26" ht="17.25">
      <c r="A568" s="196"/>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row>
    <row r="569" spans="1:26" ht="17.25">
      <c r="A569" s="196"/>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row>
    <row r="570" spans="1:26" ht="17.25">
      <c r="A570" s="196"/>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row>
    <row r="571" spans="1:26" ht="17.25">
      <c r="A571" s="196"/>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row>
    <row r="572" spans="1:26" ht="17.25">
      <c r="A572" s="196"/>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row>
    <row r="573" spans="1:26" ht="17.25">
      <c r="A573" s="196"/>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row>
    <row r="574" spans="1:26" ht="17.25">
      <c r="A574" s="196"/>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row>
    <row r="575" spans="1:26" ht="17.25">
      <c r="A575" s="196"/>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row>
    <row r="576" spans="1:26" ht="17.25">
      <c r="A576" s="196"/>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row>
    <row r="577" spans="1:26" ht="17.25">
      <c r="A577" s="196"/>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row>
    <row r="578" spans="1:26" ht="17.25">
      <c r="A578" s="196"/>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row>
    <row r="579" spans="1:26" ht="17.25">
      <c r="A579" s="196"/>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row>
    <row r="580" spans="1:26" ht="17.25">
      <c r="A580" s="196"/>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row>
    <row r="581" spans="1:26" ht="17.25">
      <c r="A581" s="196"/>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row>
    <row r="582" spans="1:26" ht="17.25">
      <c r="A582" s="196"/>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row>
    <row r="583" spans="1:26" ht="17.25">
      <c r="A583" s="196"/>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row>
    <row r="584" spans="1:26" ht="17.25">
      <c r="A584" s="196"/>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row>
    <row r="585" spans="1:26" ht="17.25">
      <c r="A585" s="196"/>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row>
    <row r="586" spans="1:26" ht="17.25">
      <c r="A586" s="196"/>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row>
    <row r="587" spans="1:26" ht="17.25">
      <c r="A587" s="196"/>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row>
    <row r="588" spans="1:26" ht="17.25">
      <c r="A588" s="196"/>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row>
    <row r="589" spans="1:26" ht="17.25">
      <c r="A589" s="196"/>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row>
    <row r="590" spans="1:26" ht="17.25">
      <c r="A590" s="196"/>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row>
    <row r="591" spans="1:26" ht="17.25">
      <c r="A591" s="196"/>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row>
    <row r="592" spans="1:26" ht="17.25">
      <c r="A592" s="196"/>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row>
    <row r="593" spans="1:26" ht="17.25">
      <c r="A593" s="196"/>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row>
    <row r="594" spans="1:26" ht="17.25">
      <c r="A594" s="196"/>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row>
    <row r="595" spans="1:26" ht="17.25">
      <c r="A595" s="196"/>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row>
    <row r="596" spans="1:26" ht="17.25">
      <c r="A596" s="196"/>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row>
    <row r="597" spans="1:26" ht="17.25">
      <c r="A597" s="196"/>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row>
    <row r="598" spans="1:26" ht="17.25">
      <c r="A598" s="196"/>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row>
    <row r="599" spans="1:26" ht="17.25">
      <c r="A599" s="196"/>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row>
    <row r="600" spans="1:26" ht="17.25">
      <c r="A600" s="196"/>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row>
    <row r="601" spans="1:26" ht="17.25">
      <c r="A601" s="196"/>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row>
    <row r="602" spans="1:26" ht="17.25">
      <c r="A602" s="196"/>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row>
    <row r="603" spans="1:26" ht="17.25">
      <c r="A603" s="196"/>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row>
    <row r="604" spans="1:26" ht="17.25">
      <c r="A604" s="196"/>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row>
    <row r="605" spans="1:26" ht="17.25">
      <c r="A605" s="196"/>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row>
    <row r="606" spans="1:26" ht="17.25">
      <c r="A606" s="196"/>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row>
    <row r="607" spans="1:26" ht="17.25">
      <c r="A607" s="196"/>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row>
    <row r="608" spans="1:26" ht="17.25">
      <c r="A608" s="196"/>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row>
    <row r="609" spans="1:26" ht="17.25">
      <c r="A609" s="196"/>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row>
    <row r="610" spans="1:26" ht="17.25">
      <c r="A610" s="196"/>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row>
    <row r="611" spans="1:26" ht="17.25">
      <c r="A611" s="196"/>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row>
    <row r="612" spans="1:26" ht="17.25">
      <c r="A612" s="196"/>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row>
    <row r="613" spans="1:26" ht="17.25">
      <c r="A613" s="196"/>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row>
    <row r="614" spans="1:26" ht="17.25">
      <c r="A614" s="196"/>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row>
    <row r="615" spans="1:26" ht="17.25">
      <c r="A615" s="196"/>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row>
    <row r="616" spans="1:26" ht="17.25">
      <c r="A616" s="196"/>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row>
    <row r="617" spans="1:26" ht="17.25">
      <c r="A617" s="196"/>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row>
    <row r="618" spans="1:26" ht="17.25">
      <c r="A618" s="196"/>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row>
    <row r="619" spans="1:26" ht="17.25">
      <c r="A619" s="196"/>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row>
    <row r="620" spans="1:26" ht="17.25">
      <c r="A620" s="196"/>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row>
    <row r="621" spans="1:26" ht="17.25">
      <c r="A621" s="196"/>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row>
    <row r="622" spans="1:26" ht="17.25">
      <c r="A622" s="196"/>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row>
    <row r="623" spans="1:26" ht="17.25">
      <c r="A623" s="196"/>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row>
    <row r="624" spans="1:26" ht="17.25">
      <c r="A624" s="196"/>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row>
    <row r="625" spans="1:26" ht="17.25">
      <c r="A625" s="196"/>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row>
    <row r="626" spans="1:26" ht="17.25">
      <c r="A626" s="196"/>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row>
    <row r="627" spans="1:26" ht="17.25">
      <c r="A627" s="196"/>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row>
    <row r="628" spans="1:26" ht="17.25">
      <c r="A628" s="196"/>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row>
    <row r="629" spans="1:26" ht="17.25">
      <c r="A629" s="196"/>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row>
    <row r="630" spans="1:26" ht="17.25">
      <c r="A630" s="196"/>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row>
    <row r="631" spans="1:26" ht="17.25">
      <c r="A631" s="196"/>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row>
    <row r="632" spans="1:26" ht="17.25">
      <c r="A632" s="196"/>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row>
    <row r="633" spans="1:26" ht="17.25">
      <c r="A633" s="196"/>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row>
    <row r="634" spans="1:26" ht="17.25">
      <c r="A634" s="196"/>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row>
    <row r="635" spans="1:26" ht="17.25">
      <c r="A635" s="196"/>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row>
    <row r="636" spans="1:26" ht="17.25">
      <c r="A636" s="196"/>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row>
    <row r="637" spans="1:26" ht="17.25">
      <c r="A637" s="196"/>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row>
    <row r="638" spans="1:26" ht="17.25">
      <c r="A638" s="196"/>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row>
    <row r="639" spans="1:26" ht="17.25">
      <c r="A639" s="196"/>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row>
    <row r="640" spans="1:26" ht="17.25">
      <c r="A640" s="196"/>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row>
    <row r="641" spans="1:26" ht="17.25">
      <c r="A641" s="196"/>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row>
    <row r="642" spans="1:26" ht="17.25">
      <c r="A642" s="196"/>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row>
    <row r="643" spans="1:26" ht="17.25">
      <c r="A643" s="196"/>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row>
    <row r="644" spans="1:26" ht="17.25">
      <c r="A644" s="196"/>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row>
    <row r="645" spans="1:26" ht="17.25">
      <c r="A645" s="196"/>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row>
    <row r="646" spans="1:26" ht="17.25">
      <c r="A646" s="196"/>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row>
    <row r="647" spans="1:26" ht="17.25">
      <c r="A647" s="196"/>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row>
    <row r="648" spans="1:26" ht="17.25">
      <c r="A648" s="196"/>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row>
    <row r="649" spans="1:26" ht="17.25">
      <c r="A649" s="196"/>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row>
    <row r="650" spans="1:26" ht="17.25">
      <c r="A650" s="196"/>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row>
    <row r="651" spans="1:26" ht="17.25">
      <c r="A651" s="196"/>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row>
    <row r="652" spans="1:26" ht="17.25">
      <c r="A652" s="196"/>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row>
    <row r="653" spans="1:26" ht="17.25">
      <c r="A653" s="196"/>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row>
    <row r="654" spans="1:26" ht="17.25">
      <c r="A654" s="196"/>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row>
    <row r="655" spans="1:26" ht="17.25">
      <c r="A655" s="196"/>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row>
    <row r="656" spans="1:26" ht="17.25">
      <c r="A656" s="196"/>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row>
    <row r="657" spans="1:26" ht="17.25">
      <c r="A657" s="196"/>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row>
    <row r="658" spans="1:26" ht="17.25">
      <c r="A658" s="196"/>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row>
    <row r="659" spans="1:26" ht="17.25">
      <c r="A659" s="196"/>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row>
    <row r="660" spans="1:26" ht="17.25">
      <c r="A660" s="196"/>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row>
    <row r="661" spans="1:26" ht="17.25">
      <c r="A661" s="196"/>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row>
    <row r="662" spans="1:26" ht="17.25">
      <c r="A662" s="196"/>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row>
    <row r="663" spans="1:26" ht="17.25">
      <c r="A663" s="196"/>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row>
    <row r="664" spans="1:26" ht="17.25">
      <c r="A664" s="196"/>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row>
    <row r="665" spans="1:26" ht="17.25">
      <c r="A665" s="196"/>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row>
    <row r="666" spans="1:26" ht="17.25">
      <c r="A666" s="196"/>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row>
    <row r="667" spans="1:26" ht="17.25">
      <c r="A667" s="196"/>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row>
    <row r="668" spans="1:26" ht="17.25">
      <c r="A668" s="196"/>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row>
    <row r="669" spans="1:26" ht="17.25">
      <c r="A669" s="196"/>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row>
    <row r="670" spans="1:26" ht="17.25">
      <c r="A670" s="196"/>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row>
    <row r="671" spans="1:26" ht="17.25">
      <c r="A671" s="196"/>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row>
    <row r="672" spans="1:26" ht="17.25">
      <c r="A672" s="196"/>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row>
    <row r="673" spans="1:26" ht="17.25">
      <c r="A673" s="196"/>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row>
    <row r="674" spans="1:26" ht="17.25">
      <c r="A674" s="196"/>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row>
    <row r="675" spans="1:26" ht="17.25">
      <c r="A675" s="196"/>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row>
    <row r="676" spans="1:26" ht="17.25">
      <c r="A676" s="196"/>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row>
    <row r="677" spans="1:26" ht="17.25">
      <c r="A677" s="196"/>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row>
    <row r="678" spans="1:26" ht="17.25">
      <c r="A678" s="196"/>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row>
    <row r="679" spans="1:26" ht="17.25">
      <c r="A679" s="196"/>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row>
    <row r="680" spans="1:26" ht="17.25">
      <c r="A680" s="196"/>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row>
    <row r="681" spans="1:26" ht="17.25">
      <c r="A681" s="196"/>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row>
    <row r="682" spans="1:26" ht="17.25">
      <c r="A682" s="196"/>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row>
    <row r="683" spans="1:26" ht="17.25">
      <c r="A683" s="196"/>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row>
    <row r="684" spans="1:26" ht="17.25">
      <c r="A684" s="196"/>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row>
    <row r="685" spans="1:26" ht="17.25">
      <c r="A685" s="196"/>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row>
    <row r="686" spans="1:26" ht="17.25">
      <c r="A686" s="196"/>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row>
    <row r="687" spans="1:26" ht="17.25">
      <c r="A687" s="196"/>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row>
    <row r="688" spans="1:26" ht="17.25">
      <c r="A688" s="196"/>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row>
    <row r="689" spans="1:26" ht="17.25">
      <c r="A689" s="196"/>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row>
    <row r="690" spans="1:26" ht="17.25">
      <c r="A690" s="196"/>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row>
    <row r="691" spans="1:26" ht="17.25">
      <c r="A691" s="196"/>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row>
    <row r="692" spans="1:26" ht="17.25">
      <c r="A692" s="196"/>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row>
    <row r="693" spans="1:26" ht="17.25">
      <c r="A693" s="196"/>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row>
    <row r="694" spans="1:26" ht="17.25">
      <c r="A694" s="196"/>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row>
    <row r="695" spans="1:26" ht="17.25">
      <c r="A695" s="196"/>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row>
    <row r="696" spans="1:26" ht="17.25">
      <c r="A696" s="196"/>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row>
    <row r="697" spans="1:26" ht="17.25">
      <c r="A697" s="196"/>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row>
    <row r="698" spans="1:26" ht="17.25">
      <c r="A698" s="196"/>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row>
    <row r="699" spans="1:26" ht="17.25">
      <c r="A699" s="196"/>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row>
    <row r="700" spans="1:26" ht="17.25">
      <c r="A700" s="196"/>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row>
    <row r="701" spans="1:26" ht="17.25">
      <c r="A701" s="196"/>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row>
    <row r="702" spans="1:26" ht="17.25">
      <c r="A702" s="196"/>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row>
    <row r="703" spans="1:26" ht="17.25">
      <c r="A703" s="196"/>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row>
    <row r="704" spans="1:26" ht="17.25">
      <c r="A704" s="196"/>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row>
    <row r="705" spans="1:26" ht="17.25">
      <c r="A705" s="196"/>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row>
    <row r="706" spans="1:26" ht="17.25">
      <c r="A706" s="196"/>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row>
    <row r="707" spans="1:26" ht="17.25">
      <c r="A707" s="196"/>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row>
    <row r="708" spans="1:26" ht="17.25">
      <c r="A708" s="196"/>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row>
    <row r="709" spans="1:26" ht="17.25">
      <c r="A709" s="196"/>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row>
    <row r="710" spans="1:26" ht="17.25">
      <c r="A710" s="196"/>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row>
    <row r="711" spans="1:26" ht="17.25">
      <c r="A711" s="196"/>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row>
    <row r="712" spans="1:26" ht="17.25">
      <c r="A712" s="196"/>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row>
    <row r="713" spans="1:26" ht="17.25">
      <c r="A713" s="196"/>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row>
    <row r="714" spans="1:26" ht="17.25">
      <c r="A714" s="196"/>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row>
    <row r="715" spans="1:26" ht="17.25">
      <c r="A715" s="196"/>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row>
    <row r="716" spans="1:26" ht="17.25">
      <c r="A716" s="196"/>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row>
    <row r="717" spans="1:26" ht="17.25">
      <c r="A717" s="196"/>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row>
    <row r="718" spans="1:26" ht="17.25">
      <c r="A718" s="196"/>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row>
    <row r="719" spans="1:26" ht="17.25">
      <c r="A719" s="196"/>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row>
    <row r="720" spans="1:26" ht="17.25">
      <c r="A720" s="196"/>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row>
    <row r="721" spans="1:26" ht="17.25">
      <c r="A721" s="196"/>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row>
    <row r="722" spans="1:26" ht="17.25">
      <c r="A722" s="196"/>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row>
    <row r="723" spans="1:26" ht="17.25">
      <c r="A723" s="196"/>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row>
    <row r="724" spans="1:26" ht="17.25">
      <c r="A724" s="196"/>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row>
    <row r="725" spans="1:26" ht="17.25">
      <c r="A725" s="196"/>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row>
    <row r="726" spans="1:26" ht="17.25">
      <c r="A726" s="196"/>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row>
    <row r="727" spans="1:26" ht="17.25">
      <c r="A727" s="196"/>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row>
    <row r="728" spans="1:26" ht="17.25">
      <c r="A728" s="196"/>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row>
    <row r="729" spans="1:26" ht="17.25">
      <c r="A729" s="196"/>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row>
    <row r="730" spans="1:26" ht="17.25">
      <c r="A730" s="196"/>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row>
    <row r="731" spans="1:26" ht="17.25">
      <c r="A731" s="196"/>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row>
    <row r="732" spans="1:26" ht="17.25">
      <c r="A732" s="196"/>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row>
    <row r="733" spans="1:26" ht="17.25">
      <c r="A733" s="196"/>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row>
    <row r="734" spans="1:26" ht="17.25">
      <c r="A734" s="196"/>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row>
    <row r="735" spans="1:26" ht="17.25">
      <c r="A735" s="196"/>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row>
    <row r="736" spans="1:26" ht="17.25">
      <c r="A736" s="196"/>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row>
    <row r="737" spans="1:26" ht="17.25">
      <c r="A737" s="196"/>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row>
    <row r="738" spans="1:26" ht="17.25">
      <c r="A738" s="196"/>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row>
    <row r="739" spans="1:26" ht="17.25">
      <c r="A739" s="196"/>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row>
    <row r="740" spans="1:26" ht="17.25">
      <c r="A740" s="196"/>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row>
    <row r="741" spans="1:26" ht="17.25">
      <c r="A741" s="196"/>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row>
    <row r="742" spans="1:26" ht="17.25">
      <c r="A742" s="196"/>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row>
    <row r="743" spans="1:26" ht="17.25">
      <c r="A743" s="196"/>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row>
    <row r="744" spans="1:26" ht="17.25">
      <c r="A744" s="196"/>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row>
    <row r="745" spans="1:26" ht="17.25">
      <c r="A745" s="196"/>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row>
    <row r="746" spans="1:26" ht="17.25">
      <c r="A746" s="196"/>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row>
    <row r="747" spans="1:26" ht="17.25">
      <c r="A747" s="196"/>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row>
    <row r="748" spans="1:26" ht="17.25">
      <c r="A748" s="196"/>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row>
    <row r="749" spans="1:26" ht="17.25">
      <c r="A749" s="196"/>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row>
    <row r="750" spans="1:26" ht="17.25">
      <c r="A750" s="196"/>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row>
    <row r="751" spans="1:26" ht="17.25">
      <c r="A751" s="196"/>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row>
    <row r="752" spans="1:26" ht="17.25">
      <c r="A752" s="196"/>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row>
    <row r="753" spans="1:26" ht="17.25">
      <c r="A753" s="196"/>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row>
    <row r="754" spans="1:26" ht="17.25">
      <c r="A754" s="196"/>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row>
    <row r="755" spans="1:26" ht="17.25">
      <c r="A755" s="196"/>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row>
    <row r="756" spans="1:26" ht="17.25">
      <c r="A756" s="196"/>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row>
    <row r="757" spans="1:26" ht="17.25">
      <c r="A757" s="196"/>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row>
    <row r="758" spans="1:26" ht="17.25">
      <c r="A758" s="196"/>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row>
    <row r="759" spans="1:26" ht="17.25">
      <c r="A759" s="196"/>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row>
    <row r="760" spans="1:26" ht="17.25">
      <c r="A760" s="196"/>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row>
    <row r="761" spans="1:26" ht="17.25">
      <c r="A761" s="196"/>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row>
    <row r="762" spans="1:26" ht="17.25">
      <c r="A762" s="196"/>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row>
    <row r="763" spans="1:26" ht="17.25">
      <c r="A763" s="196"/>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row>
    <row r="764" spans="1:26" ht="17.25">
      <c r="A764" s="196"/>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row>
    <row r="765" spans="1:26" ht="17.25">
      <c r="A765" s="196"/>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row>
    <row r="766" spans="1:26" ht="17.25">
      <c r="A766" s="196"/>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row>
    <row r="767" spans="1:26" ht="17.25">
      <c r="A767" s="196"/>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row>
    <row r="768" spans="1:26" ht="17.25">
      <c r="A768" s="196"/>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row>
    <row r="769" spans="1:26" ht="17.25">
      <c r="A769" s="196"/>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row>
    <row r="770" spans="1:26" ht="17.25">
      <c r="A770" s="196"/>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row>
    <row r="771" spans="1:26" ht="17.25">
      <c r="A771" s="196"/>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row>
    <row r="772" spans="1:26" ht="17.25">
      <c r="A772" s="196"/>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row>
    <row r="773" spans="1:26" ht="17.25">
      <c r="A773" s="196"/>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row>
    <row r="774" spans="1:26" ht="17.25">
      <c r="A774" s="196"/>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row>
    <row r="775" spans="1:26" ht="17.25">
      <c r="A775" s="196"/>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row>
    <row r="776" spans="1:26" ht="17.25">
      <c r="A776" s="196"/>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row>
    <row r="777" spans="1:26" ht="17.25">
      <c r="A777" s="196"/>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row>
    <row r="778" spans="1:26" ht="17.25">
      <c r="A778" s="196"/>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row>
    <row r="779" spans="1:26" ht="17.25">
      <c r="A779" s="196"/>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row>
    <row r="780" spans="1:26" ht="17.25">
      <c r="A780" s="196"/>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row>
    <row r="781" spans="1:26" ht="17.25">
      <c r="A781" s="196"/>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row>
    <row r="782" spans="1:26" ht="17.25">
      <c r="A782" s="196"/>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row>
    <row r="783" spans="1:26" ht="17.25">
      <c r="A783" s="196"/>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row>
    <row r="784" spans="1:26" ht="17.25">
      <c r="A784" s="196"/>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row>
    <row r="785" spans="1:26" ht="17.25">
      <c r="A785" s="196"/>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row>
    <row r="786" spans="1:26" ht="17.25">
      <c r="A786" s="196"/>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row>
    <row r="787" spans="1:26" ht="17.25">
      <c r="A787" s="196"/>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row>
    <row r="788" spans="1:26" ht="17.25">
      <c r="A788" s="196"/>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row>
    <row r="789" spans="1:26" ht="17.25">
      <c r="A789" s="196"/>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row>
    <row r="790" spans="1:26" ht="17.25">
      <c r="A790" s="196"/>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row>
    <row r="791" spans="1:26" ht="17.25">
      <c r="A791" s="196"/>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row>
    <row r="792" spans="1:26" ht="17.25">
      <c r="A792" s="196"/>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row>
    <row r="793" spans="1:26" ht="17.25">
      <c r="A793" s="196"/>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row>
    <row r="794" spans="1:26" ht="17.25">
      <c r="A794" s="196"/>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row>
    <row r="795" spans="1:26" ht="17.25">
      <c r="A795" s="196"/>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row>
    <row r="796" spans="1:26" ht="17.25">
      <c r="A796" s="196"/>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row>
    <row r="797" spans="1:26" ht="17.25">
      <c r="A797" s="196"/>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row>
    <row r="798" spans="1:26" ht="17.25">
      <c r="A798" s="196"/>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row>
    <row r="799" spans="1:26" ht="17.25">
      <c r="A799" s="196"/>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row>
    <row r="800" spans="1:26" ht="17.25">
      <c r="A800" s="196"/>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row>
    <row r="801" spans="1:26" ht="17.25">
      <c r="A801" s="196"/>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row>
    <row r="802" spans="1:26" ht="17.25">
      <c r="A802" s="196"/>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row>
    <row r="803" spans="1:26" ht="17.25">
      <c r="A803" s="196"/>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row>
    <row r="804" spans="1:26" ht="17.25">
      <c r="A804" s="196"/>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row>
    <row r="805" spans="1:26" ht="17.25">
      <c r="A805" s="196"/>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row>
    <row r="806" spans="1:26" ht="17.25">
      <c r="A806" s="196"/>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row>
    <row r="807" spans="1:26" ht="17.25">
      <c r="A807" s="196"/>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row>
    <row r="808" spans="1:26" ht="17.25">
      <c r="A808" s="196"/>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row>
    <row r="809" spans="1:26" ht="17.25">
      <c r="A809" s="196"/>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row>
    <row r="810" spans="1:26" ht="17.25">
      <c r="A810" s="196"/>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row>
    <row r="811" spans="1:26" ht="17.25">
      <c r="A811" s="196"/>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row>
    <row r="812" spans="1:26" ht="17.25">
      <c r="A812" s="196"/>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row>
    <row r="813" spans="1:26" ht="17.25">
      <c r="A813" s="196"/>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row>
    <row r="814" spans="1:26" ht="17.25">
      <c r="A814" s="196"/>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row>
    <row r="815" spans="1:26" ht="17.25">
      <c r="A815" s="196"/>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row>
    <row r="816" spans="1:26" ht="17.25">
      <c r="A816" s="196"/>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row>
    <row r="817" spans="1:26" ht="17.25">
      <c r="A817" s="196"/>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row>
    <row r="818" spans="1:26" ht="17.25">
      <c r="A818" s="196"/>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row>
    <row r="819" spans="1:26" ht="17.25">
      <c r="A819" s="196"/>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row>
    <row r="820" spans="1:26" ht="17.25">
      <c r="A820" s="196"/>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row>
    <row r="821" spans="1:26" ht="17.25">
      <c r="A821" s="196"/>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row>
    <row r="822" spans="1:26" ht="17.25">
      <c r="A822" s="196"/>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row>
    <row r="823" spans="1:26" ht="17.25">
      <c r="A823" s="196"/>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row>
    <row r="824" spans="1:26" ht="17.25">
      <c r="A824" s="196"/>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row>
    <row r="825" spans="1:26" ht="17.25">
      <c r="A825" s="196"/>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row>
    <row r="826" spans="1:26" ht="17.25">
      <c r="A826" s="196"/>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row>
    <row r="827" spans="1:26" ht="17.25">
      <c r="A827" s="196"/>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row>
    <row r="828" spans="1:26" ht="17.25">
      <c r="A828" s="196"/>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row>
    <row r="829" spans="1:26" ht="17.25">
      <c r="A829" s="196"/>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row>
    <row r="830" spans="1:26" ht="17.25">
      <c r="A830" s="196"/>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row>
    <row r="831" spans="1:26" ht="17.25">
      <c r="A831" s="196"/>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row>
    <row r="832" spans="1:26" ht="17.25">
      <c r="A832" s="196"/>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row>
    <row r="833" spans="1:26" ht="17.25">
      <c r="A833" s="196"/>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row>
    <row r="834" spans="1:26" ht="17.25">
      <c r="A834" s="196"/>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row>
    <row r="835" spans="1:26" ht="17.25">
      <c r="A835" s="196"/>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row>
    <row r="836" spans="1:26" ht="17.25">
      <c r="A836" s="196"/>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row>
    <row r="837" spans="1:26" ht="17.25">
      <c r="A837" s="196"/>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row>
    <row r="838" spans="1:26" ht="17.25">
      <c r="A838" s="196"/>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row>
    <row r="839" spans="1:26" ht="17.25">
      <c r="A839" s="196"/>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row>
    <row r="840" spans="1:26" ht="17.25">
      <c r="A840" s="196"/>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row>
    <row r="841" spans="1:26" ht="17.25">
      <c r="A841" s="196"/>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row>
    <row r="842" spans="1:26" ht="17.25">
      <c r="A842" s="196"/>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row>
    <row r="843" spans="1:26" ht="17.25">
      <c r="A843" s="196"/>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row>
    <row r="844" spans="1:26" ht="17.25">
      <c r="A844" s="196"/>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row>
    <row r="845" spans="1:26" ht="17.25">
      <c r="A845" s="196"/>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row>
    <row r="846" spans="1:26" ht="17.25">
      <c r="A846" s="196"/>
      <c r="B846" s="196"/>
      <c r="C846" s="196"/>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row>
    <row r="847" spans="1:26" ht="17.25">
      <c r="A847" s="196"/>
      <c r="B847" s="196"/>
      <c r="C847" s="196"/>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row>
    <row r="848" spans="1:26" ht="17.25">
      <c r="A848" s="196"/>
      <c r="B848" s="196"/>
      <c r="C848" s="196"/>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row>
    <row r="849" spans="1:26" ht="17.25">
      <c r="A849" s="196"/>
      <c r="B849" s="196"/>
      <c r="C849" s="196"/>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row>
    <row r="850" spans="1:26" ht="17.25">
      <c r="A850" s="196"/>
      <c r="B850" s="196"/>
      <c r="C850" s="196"/>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row>
    <row r="851" spans="1:26" ht="17.25">
      <c r="A851" s="196"/>
      <c r="B851" s="196"/>
      <c r="C851" s="196"/>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row>
    <row r="852" spans="1:26" ht="17.25">
      <c r="A852" s="196"/>
      <c r="B852" s="196"/>
      <c r="C852" s="196"/>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row>
    <row r="853" spans="1:26" ht="17.25">
      <c r="A853" s="196"/>
      <c r="B853" s="196"/>
      <c r="C853" s="196"/>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row>
    <row r="854" spans="1:26" ht="17.25">
      <c r="A854" s="196"/>
      <c r="B854" s="196"/>
      <c r="C854" s="196"/>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row>
    <row r="855" spans="1:26" ht="17.25">
      <c r="A855" s="196"/>
      <c r="B855" s="196"/>
      <c r="C855" s="196"/>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row>
    <row r="856" spans="1:26" ht="17.25">
      <c r="A856" s="196"/>
      <c r="B856" s="196"/>
      <c r="C856" s="196"/>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row>
    <row r="857" spans="1:26" ht="17.25">
      <c r="A857" s="196"/>
      <c r="B857" s="196"/>
      <c r="C857" s="196"/>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row>
    <row r="858" spans="1:26" ht="17.25">
      <c r="A858" s="196"/>
      <c r="B858" s="196"/>
      <c r="C858" s="196"/>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row>
    <row r="859" spans="1:26" ht="17.25">
      <c r="A859" s="196"/>
      <c r="B859" s="196"/>
      <c r="C859" s="196"/>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row>
    <row r="860" spans="1:26" ht="17.25">
      <c r="A860" s="196"/>
      <c r="B860" s="196"/>
      <c r="C860" s="196"/>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row>
    <row r="861" spans="1:26" ht="17.25">
      <c r="A861" s="196"/>
      <c r="B861" s="196"/>
      <c r="C861" s="196"/>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row>
    <row r="862" spans="1:26" ht="17.25">
      <c r="A862" s="196"/>
      <c r="B862" s="196"/>
      <c r="C862" s="196"/>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row>
    <row r="863" spans="1:26" ht="17.25">
      <c r="A863" s="196"/>
      <c r="B863" s="196"/>
      <c r="C863" s="196"/>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row>
    <row r="864" spans="1:26" ht="17.25">
      <c r="A864" s="196"/>
      <c r="B864" s="196"/>
      <c r="C864" s="196"/>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row>
    <row r="865" spans="1:26" ht="17.25">
      <c r="A865" s="196"/>
      <c r="B865" s="196"/>
      <c r="C865" s="196"/>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row>
    <row r="866" spans="1:26" ht="17.25">
      <c r="A866" s="196"/>
      <c r="B866" s="196"/>
      <c r="C866" s="196"/>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row>
    <row r="867" spans="1:26" ht="17.25">
      <c r="A867" s="196"/>
      <c r="B867" s="196"/>
      <c r="C867" s="196"/>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row>
    <row r="868" spans="1:26" ht="17.25">
      <c r="A868" s="196"/>
      <c r="B868" s="196"/>
      <c r="C868" s="196"/>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row>
    <row r="869" spans="1:26" ht="17.25">
      <c r="A869" s="196"/>
      <c r="B869" s="196"/>
      <c r="C869" s="196"/>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row>
    <row r="870" spans="1:26" ht="17.25">
      <c r="A870" s="196"/>
      <c r="B870" s="196"/>
      <c r="C870" s="196"/>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row>
    <row r="871" spans="1:26" ht="17.25">
      <c r="A871" s="196"/>
      <c r="B871" s="196"/>
      <c r="C871" s="196"/>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row>
    <row r="872" spans="1:26" ht="17.25">
      <c r="A872" s="196"/>
      <c r="B872" s="196"/>
      <c r="C872" s="196"/>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row>
    <row r="873" spans="1:26" ht="17.25">
      <c r="A873" s="196"/>
      <c r="B873" s="196"/>
      <c r="C873" s="196"/>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row>
    <row r="874" spans="1:26" ht="17.25">
      <c r="A874" s="196"/>
      <c r="B874" s="196"/>
      <c r="C874" s="196"/>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row>
    <row r="875" spans="1:26" ht="17.25">
      <c r="A875" s="196"/>
      <c r="B875" s="196"/>
      <c r="C875" s="196"/>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row>
    <row r="876" spans="1:26" ht="17.25">
      <c r="A876" s="196"/>
      <c r="B876" s="196"/>
      <c r="C876" s="196"/>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row>
    <row r="877" spans="1:26" ht="17.25">
      <c r="A877" s="196"/>
      <c r="B877" s="196"/>
      <c r="C877" s="196"/>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row>
    <row r="878" spans="1:26" ht="17.25">
      <c r="A878" s="196"/>
      <c r="B878" s="196"/>
      <c r="C878" s="196"/>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row>
    <row r="879" spans="1:26" ht="17.25">
      <c r="A879" s="196"/>
      <c r="B879" s="196"/>
      <c r="C879" s="196"/>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row>
    <row r="880" spans="1:26" ht="17.25">
      <c r="A880" s="196"/>
      <c r="B880" s="196"/>
      <c r="C880" s="196"/>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row>
    <row r="881" spans="1:26" ht="17.25">
      <c r="A881" s="196"/>
      <c r="B881" s="196"/>
      <c r="C881" s="196"/>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row>
    <row r="882" spans="1:26" ht="17.25">
      <c r="A882" s="196"/>
      <c r="B882" s="196"/>
      <c r="C882" s="196"/>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row>
    <row r="883" spans="1:26" ht="17.25">
      <c r="A883" s="196"/>
      <c r="B883" s="196"/>
      <c r="C883" s="196"/>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row>
    <row r="884" spans="1:26" ht="17.25">
      <c r="A884" s="196"/>
      <c r="B884" s="196"/>
      <c r="C884" s="196"/>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row>
    <row r="885" spans="1:26" ht="17.25">
      <c r="A885" s="196"/>
      <c r="B885" s="196"/>
      <c r="C885" s="196"/>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row>
    <row r="886" spans="1:26" ht="17.25">
      <c r="A886" s="196"/>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row>
    <row r="887" spans="1:26" ht="17.25">
      <c r="A887" s="196"/>
      <c r="B887" s="196"/>
      <c r="C887" s="196"/>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row>
    <row r="888" spans="1:26" ht="17.25">
      <c r="A888" s="196"/>
      <c r="B888" s="196"/>
      <c r="C888" s="196"/>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row>
    <row r="889" spans="1:26" ht="17.25">
      <c r="A889" s="196"/>
      <c r="B889" s="196"/>
      <c r="C889" s="196"/>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row>
    <row r="890" spans="1:26" ht="17.25">
      <c r="A890" s="196"/>
      <c r="B890" s="196"/>
      <c r="C890" s="196"/>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row>
    <row r="891" spans="1:26" ht="17.25">
      <c r="A891" s="196"/>
      <c r="B891" s="196"/>
      <c r="C891" s="196"/>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row>
    <row r="892" spans="1:26" ht="17.25">
      <c r="A892" s="196"/>
      <c r="B892" s="196"/>
      <c r="C892" s="196"/>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row>
    <row r="893" spans="1:26" ht="17.25">
      <c r="A893" s="196"/>
      <c r="B893" s="196"/>
      <c r="C893" s="196"/>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row>
    <row r="894" spans="1:26" ht="17.25">
      <c r="A894" s="196"/>
      <c r="B894" s="196"/>
      <c r="C894" s="196"/>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row>
    <row r="895" spans="1:26" ht="17.25">
      <c r="A895" s="196"/>
      <c r="B895" s="196"/>
      <c r="C895" s="196"/>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row>
    <row r="896" spans="1:26" ht="17.25">
      <c r="A896" s="196"/>
      <c r="B896" s="196"/>
      <c r="C896" s="196"/>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row>
    <row r="897" spans="1:26" ht="17.25">
      <c r="A897" s="196"/>
      <c r="B897" s="196"/>
      <c r="C897" s="196"/>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row>
    <row r="898" spans="1:26" ht="17.25">
      <c r="A898" s="196"/>
      <c r="B898" s="196"/>
      <c r="C898" s="196"/>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row>
    <row r="899" spans="1:26" ht="17.25">
      <c r="A899" s="196"/>
      <c r="B899" s="196"/>
      <c r="C899" s="196"/>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row>
    <row r="900" spans="1:26" ht="17.25">
      <c r="A900" s="196"/>
      <c r="B900" s="196"/>
      <c r="C900" s="196"/>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row>
    <row r="901" spans="1:26" ht="17.25">
      <c r="A901" s="196"/>
      <c r="B901" s="196"/>
      <c r="C901" s="196"/>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row>
    <row r="902" spans="1:26" ht="17.25">
      <c r="A902" s="196"/>
      <c r="B902" s="196"/>
      <c r="C902" s="196"/>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row>
    <row r="903" spans="1:26" ht="17.25">
      <c r="A903" s="196"/>
      <c r="B903" s="196"/>
      <c r="C903" s="196"/>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row>
    <row r="904" spans="1:26" ht="17.25">
      <c r="A904" s="196"/>
      <c r="B904" s="196"/>
      <c r="C904" s="196"/>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row>
    <row r="905" spans="1:26" ht="17.25">
      <c r="A905" s="196"/>
      <c r="B905" s="196"/>
      <c r="C905" s="196"/>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row>
    <row r="906" spans="1:26" ht="17.25">
      <c r="A906" s="196"/>
      <c r="B906" s="196"/>
      <c r="C906" s="196"/>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row>
    <row r="907" spans="1:26" ht="17.25">
      <c r="A907" s="196"/>
      <c r="B907" s="196"/>
      <c r="C907" s="196"/>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row>
    <row r="908" spans="1:26" ht="17.25">
      <c r="A908" s="196"/>
      <c r="B908" s="196"/>
      <c r="C908" s="196"/>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row>
    <row r="909" spans="1:26" ht="17.25">
      <c r="A909" s="196"/>
      <c r="B909" s="196"/>
      <c r="C909" s="196"/>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row>
    <row r="910" spans="1:26" ht="17.25">
      <c r="A910" s="196"/>
      <c r="B910" s="196"/>
      <c r="C910" s="196"/>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row>
    <row r="911" spans="1:26" ht="17.25">
      <c r="A911" s="196"/>
      <c r="B911" s="196"/>
      <c r="C911" s="196"/>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row>
    <row r="912" spans="1:26" ht="17.25">
      <c r="A912" s="196"/>
      <c r="B912" s="196"/>
      <c r="C912" s="196"/>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row>
    <row r="913" spans="1:26" ht="17.25">
      <c r="A913" s="196"/>
      <c r="B913" s="196"/>
      <c r="C913" s="196"/>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row>
    <row r="914" spans="1:26" ht="17.25">
      <c r="A914" s="196"/>
      <c r="B914" s="196"/>
      <c r="C914" s="196"/>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row>
    <row r="915" spans="1:26" ht="17.25">
      <c r="A915" s="196"/>
      <c r="B915" s="196"/>
      <c r="C915" s="196"/>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row>
    <row r="916" spans="1:26" ht="17.25">
      <c r="A916" s="196"/>
      <c r="B916" s="196"/>
      <c r="C916" s="196"/>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row>
    <row r="917" spans="1:26" ht="17.25">
      <c r="A917" s="196"/>
      <c r="B917" s="196"/>
      <c r="C917" s="196"/>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row>
    <row r="918" spans="1:26" ht="17.25">
      <c r="A918" s="196"/>
      <c r="B918" s="196"/>
      <c r="C918" s="196"/>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row>
    <row r="919" spans="1:26" ht="17.25">
      <c r="A919" s="196"/>
      <c r="B919" s="196"/>
      <c r="C919" s="196"/>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row>
    <row r="920" spans="1:26" ht="17.25">
      <c r="A920" s="196"/>
      <c r="B920" s="196"/>
      <c r="C920" s="19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row>
    <row r="921" spans="1:26" ht="17.25">
      <c r="A921" s="196"/>
      <c r="B921" s="196"/>
      <c r="C921" s="19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row>
    <row r="922" spans="1:26" ht="17.25">
      <c r="A922" s="196"/>
      <c r="B922" s="196"/>
      <c r="C922" s="19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row>
    <row r="923" spans="1:26" ht="17.25">
      <c r="A923" s="196"/>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row>
    <row r="924" spans="1:26" ht="17.25">
      <c r="A924" s="196"/>
      <c r="B924" s="196"/>
      <c r="C924" s="196"/>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row>
    <row r="925" spans="1:26" ht="17.25">
      <c r="A925" s="196"/>
      <c r="B925" s="196"/>
      <c r="C925" s="196"/>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row>
    <row r="926" spans="1:26" ht="17.25">
      <c r="A926" s="196"/>
      <c r="B926" s="196"/>
      <c r="C926" s="196"/>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row>
    <row r="927" spans="1:26" ht="17.25">
      <c r="A927" s="196"/>
      <c r="B927" s="196"/>
      <c r="C927" s="196"/>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row>
    <row r="928" spans="1:26" ht="17.25">
      <c r="A928" s="196"/>
      <c r="B928" s="196"/>
      <c r="C928" s="196"/>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row>
    <row r="929" spans="1:26" ht="17.25">
      <c r="A929" s="196"/>
      <c r="B929" s="196"/>
      <c r="C929" s="196"/>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row>
    <row r="930" spans="1:26" ht="17.25">
      <c r="A930" s="196"/>
      <c r="B930" s="196"/>
      <c r="C930" s="196"/>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row>
    <row r="931" spans="1:26" ht="17.25">
      <c r="A931" s="196"/>
      <c r="B931" s="196"/>
      <c r="C931" s="196"/>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row>
    <row r="932" spans="1:26" ht="17.25">
      <c r="A932" s="196"/>
      <c r="B932" s="196"/>
      <c r="C932" s="196"/>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row>
    <row r="933" spans="1:26" ht="17.25">
      <c r="A933" s="196"/>
      <c r="B933" s="196"/>
      <c r="C933" s="196"/>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row>
    <row r="934" spans="1:26" ht="17.25">
      <c r="A934" s="196"/>
      <c r="B934" s="196"/>
      <c r="C934" s="196"/>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row>
    <row r="935" spans="1:26" ht="17.25">
      <c r="A935" s="196"/>
      <c r="B935" s="196"/>
      <c r="C935" s="196"/>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row>
    <row r="936" spans="1:26" ht="17.25">
      <c r="A936" s="196"/>
      <c r="B936" s="196"/>
      <c r="C936" s="196"/>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row>
    <row r="937" spans="1:26" ht="17.25">
      <c r="A937" s="196"/>
      <c r="B937" s="196"/>
      <c r="C937" s="196"/>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row>
    <row r="938" spans="1:26" ht="17.25">
      <c r="A938" s="196"/>
      <c r="B938" s="196"/>
      <c r="C938" s="196"/>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row>
    <row r="939" spans="1:26" ht="17.25">
      <c r="A939" s="196"/>
      <c r="B939" s="196"/>
      <c r="C939" s="196"/>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row>
    <row r="940" spans="1:26" ht="17.25">
      <c r="A940" s="196"/>
      <c r="B940" s="196"/>
      <c r="C940" s="196"/>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row>
    <row r="941" spans="1:26" ht="17.25">
      <c r="A941" s="196"/>
      <c r="B941" s="196"/>
      <c r="C941" s="196"/>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row>
    <row r="942" spans="1:26" ht="17.25">
      <c r="A942" s="196"/>
      <c r="B942" s="196"/>
      <c r="C942" s="196"/>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row>
    <row r="943" spans="1:26" ht="17.25">
      <c r="A943" s="196"/>
      <c r="B943" s="196"/>
      <c r="C943" s="196"/>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row>
    <row r="944" spans="1:26" ht="17.25">
      <c r="A944" s="196"/>
      <c r="B944" s="196"/>
      <c r="C944" s="196"/>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row>
    <row r="945" spans="1:26" ht="17.25">
      <c r="A945" s="196"/>
      <c r="B945" s="196"/>
      <c r="C945" s="196"/>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row>
    <row r="946" spans="1:26" ht="17.25">
      <c r="A946" s="196"/>
      <c r="B946" s="196"/>
      <c r="C946" s="196"/>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row>
    <row r="947" spans="1:26" ht="17.25">
      <c r="A947" s="196"/>
      <c r="B947" s="196"/>
      <c r="C947" s="196"/>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row>
    <row r="948" spans="1:26" ht="17.25">
      <c r="A948" s="196"/>
      <c r="B948" s="196"/>
      <c r="C948" s="196"/>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row>
    <row r="949" spans="1:26" ht="17.25">
      <c r="A949" s="196"/>
      <c r="B949" s="196"/>
      <c r="C949" s="196"/>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row>
    <row r="950" spans="1:26" ht="17.25">
      <c r="A950" s="196"/>
      <c r="B950" s="196"/>
      <c r="C950" s="196"/>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row>
    <row r="951" spans="1:26" ht="17.25">
      <c r="A951" s="196"/>
      <c r="B951" s="196"/>
      <c r="C951" s="196"/>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row>
    <row r="952" spans="1:26" ht="17.25">
      <c r="A952" s="196"/>
      <c r="B952" s="196"/>
      <c r="C952" s="196"/>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row>
    <row r="953" spans="1:26" ht="17.25">
      <c r="A953" s="196"/>
      <c r="B953" s="196"/>
      <c r="C953" s="196"/>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row>
    <row r="954" spans="1:26" ht="17.25">
      <c r="A954" s="196"/>
      <c r="B954" s="196"/>
      <c r="C954" s="196"/>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row>
    <row r="955" spans="1:26" ht="17.25">
      <c r="A955" s="196"/>
      <c r="B955" s="196"/>
      <c r="C955" s="196"/>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row>
    <row r="956" spans="1:26" ht="17.25">
      <c r="A956" s="196"/>
      <c r="B956" s="196"/>
      <c r="C956" s="196"/>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row>
    <row r="957" spans="1:26" ht="17.25">
      <c r="A957" s="196"/>
      <c r="B957" s="196"/>
      <c r="C957" s="196"/>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row>
    <row r="958" spans="1:26" ht="17.25">
      <c r="A958" s="196"/>
      <c r="B958" s="196"/>
      <c r="C958" s="196"/>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row>
    <row r="959" spans="1:26" ht="17.25">
      <c r="A959" s="196"/>
      <c r="B959" s="196"/>
      <c r="C959" s="196"/>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row>
    <row r="960" spans="1:26" ht="17.25">
      <c r="A960" s="196"/>
      <c r="B960" s="196"/>
      <c r="C960" s="196"/>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row>
    <row r="961" spans="1:26" ht="17.25">
      <c r="A961" s="196"/>
      <c r="B961" s="196"/>
      <c r="C961" s="196"/>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row>
    <row r="962" spans="1:26" ht="17.25">
      <c r="A962" s="196"/>
      <c r="B962" s="196"/>
      <c r="C962" s="196"/>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row>
    <row r="963" spans="1:26" ht="17.25">
      <c r="A963" s="196"/>
      <c r="B963" s="196"/>
      <c r="C963" s="196"/>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row>
    <row r="964" spans="1:26" ht="17.25">
      <c r="A964" s="196"/>
      <c r="B964" s="196"/>
      <c r="C964" s="196"/>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row>
    <row r="965" spans="1:26" ht="17.25">
      <c r="A965" s="196"/>
      <c r="B965" s="196"/>
      <c r="C965" s="196"/>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row>
    <row r="966" spans="1:26" ht="17.25">
      <c r="A966" s="196"/>
      <c r="B966" s="196"/>
      <c r="C966" s="196"/>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row>
    <row r="967" spans="1:26" ht="17.25">
      <c r="A967" s="196"/>
      <c r="B967" s="196"/>
      <c r="C967" s="196"/>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row>
    <row r="968" spans="1:26" ht="17.25">
      <c r="A968" s="196"/>
      <c r="B968" s="196"/>
      <c r="C968" s="196"/>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row>
    <row r="969" spans="1:26" ht="17.25">
      <c r="A969" s="196"/>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row>
    <row r="970" spans="1:26" ht="17.25">
      <c r="A970" s="196"/>
      <c r="B970" s="196"/>
      <c r="C970" s="196"/>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row>
    <row r="971" spans="1:26" ht="17.25">
      <c r="A971" s="196"/>
      <c r="B971" s="196"/>
      <c r="C971" s="196"/>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row>
    <row r="972" spans="1:26" ht="17.25">
      <c r="A972" s="196"/>
      <c r="B972" s="196"/>
      <c r="C972" s="19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row>
    <row r="973" spans="1:26" ht="17.25">
      <c r="A973" s="196"/>
      <c r="B973" s="196"/>
      <c r="C973" s="19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row>
    <row r="974" spans="1:26" ht="17.25">
      <c r="A974" s="196"/>
      <c r="B974" s="196"/>
      <c r="C974" s="19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row>
    <row r="975" spans="1:26" ht="17.25">
      <c r="A975" s="196"/>
      <c r="B975" s="196"/>
      <c r="C975" s="19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row>
    <row r="976" spans="1:26" ht="17.25">
      <c r="A976" s="196"/>
      <c r="B976" s="196"/>
      <c r="C976" s="19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row>
    <row r="977" spans="1:26" ht="17.25">
      <c r="A977" s="196"/>
      <c r="B977" s="196"/>
      <c r="C977" s="19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row>
    <row r="978" spans="1:26" ht="17.25">
      <c r="A978" s="196"/>
      <c r="B978" s="196"/>
      <c r="C978" s="19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row>
    <row r="979" spans="1:26" ht="17.25">
      <c r="A979" s="196"/>
      <c r="B979" s="196"/>
      <c r="C979" s="19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row>
    <row r="980" spans="1:26" ht="17.25">
      <c r="A980" s="196"/>
      <c r="B980" s="196"/>
      <c r="C980" s="19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row>
    <row r="981" spans="1:26" ht="17.25">
      <c r="A981" s="196"/>
      <c r="B981" s="196"/>
      <c r="C981" s="19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row>
    <row r="982" spans="1:26" ht="17.25">
      <c r="A982" s="196"/>
      <c r="B982" s="196"/>
      <c r="C982" s="19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row>
    <row r="983" spans="1:26" ht="17.25">
      <c r="A983" s="196"/>
      <c r="B983" s="196"/>
      <c r="C983" s="19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row>
    <row r="984" spans="1:26" ht="17.25">
      <c r="A984" s="196"/>
      <c r="B984" s="196"/>
      <c r="C984" s="19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row>
    <row r="985" spans="1:26" ht="17.25">
      <c r="A985" s="196"/>
      <c r="B985" s="196"/>
      <c r="C985" s="19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row>
    <row r="986" spans="1:26" ht="17.25">
      <c r="A986" s="196"/>
      <c r="B986" s="196"/>
      <c r="C986" s="19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row>
    <row r="987" spans="1:26" ht="17.25">
      <c r="A987" s="196"/>
      <c r="B987" s="196"/>
      <c r="C987" s="19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row>
    <row r="988" spans="1:26" ht="17.25">
      <c r="A988" s="196"/>
      <c r="B988" s="196"/>
      <c r="C988" s="19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row>
    <row r="989" spans="1:26" ht="17.25">
      <c r="A989" s="196"/>
      <c r="B989" s="196"/>
      <c r="C989" s="19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row>
    <row r="990" spans="1:26" ht="17.25">
      <c r="A990" s="196"/>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row>
    <row r="991" spans="1:26" ht="17.25">
      <c r="A991" s="196"/>
      <c r="B991" s="196"/>
      <c r="C991" s="19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row>
    <row r="992" spans="1:26" ht="17.25">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spans="1:26" ht="17.25">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spans="1:26" ht="17.25">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spans="1:26" ht="17.25">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spans="1:26" ht="17.25">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spans="1:26" ht="17.25">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row r="998" spans="1:26" ht="17.25">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row>
    <row r="999" spans="1:26" ht="17.25">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row>
    <row r="1000" spans="1:26" ht="17.25">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row>
    <row r="1001" spans="1:26" ht="17.25">
      <c r="A1001" s="196"/>
      <c r="B1001" s="196"/>
      <c r="C1001" s="196"/>
      <c r="D1001" s="196"/>
      <c r="E1001" s="196"/>
      <c r="F1001" s="196"/>
      <c r="G1001" s="196"/>
      <c r="H1001" s="196"/>
      <c r="I1001" s="196"/>
      <c r="J1001" s="196"/>
      <c r="K1001" s="196"/>
      <c r="L1001" s="196"/>
      <c r="M1001" s="196"/>
      <c r="N1001" s="196"/>
      <c r="O1001" s="196"/>
      <c r="P1001" s="196"/>
      <c r="Q1001" s="196"/>
      <c r="R1001" s="196"/>
      <c r="S1001" s="196"/>
      <c r="T1001" s="196"/>
      <c r="U1001" s="196"/>
      <c r="V1001" s="196"/>
      <c r="W1001" s="196"/>
      <c r="X1001" s="196"/>
      <c r="Y1001" s="196"/>
      <c r="Z1001" s="196"/>
    </row>
    <row r="1002" spans="1:26" ht="17.25">
      <c r="A1002" s="196"/>
      <c r="B1002" s="196"/>
      <c r="C1002" s="196"/>
      <c r="D1002" s="196"/>
      <c r="E1002" s="196"/>
      <c r="F1002" s="196"/>
      <c r="G1002" s="196"/>
      <c r="H1002" s="196"/>
      <c r="I1002" s="196"/>
      <c r="J1002" s="196"/>
      <c r="K1002" s="196"/>
      <c r="L1002" s="196"/>
      <c r="M1002" s="196"/>
      <c r="N1002" s="196"/>
      <c r="O1002" s="196"/>
      <c r="P1002" s="196"/>
      <c r="Q1002" s="196"/>
      <c r="R1002" s="196"/>
      <c r="S1002" s="196"/>
      <c r="T1002" s="196"/>
      <c r="U1002" s="196"/>
      <c r="V1002" s="196"/>
      <c r="W1002" s="196"/>
      <c r="X1002" s="196"/>
      <c r="Y1002" s="196"/>
      <c r="Z1002" s="196"/>
    </row>
    <row r="1003" spans="1:26" ht="17.25">
      <c r="A1003" s="196"/>
      <c r="B1003" s="196"/>
      <c r="C1003" s="196"/>
      <c r="D1003" s="196"/>
      <c r="E1003" s="196"/>
      <c r="F1003" s="196"/>
      <c r="G1003" s="196"/>
      <c r="H1003" s="196"/>
      <c r="I1003" s="196"/>
      <c r="J1003" s="196"/>
      <c r="K1003" s="196"/>
      <c r="L1003" s="196"/>
      <c r="M1003" s="196"/>
      <c r="N1003" s="196"/>
      <c r="O1003" s="196"/>
      <c r="P1003" s="196"/>
      <c r="Q1003" s="196"/>
      <c r="R1003" s="196"/>
      <c r="S1003" s="196"/>
      <c r="T1003" s="196"/>
      <c r="U1003" s="196"/>
      <c r="V1003" s="196"/>
      <c r="W1003" s="196"/>
      <c r="X1003" s="196"/>
      <c r="Y1003" s="196"/>
      <c r="Z1003" s="196"/>
    </row>
    <row r="1004" spans="1:26" ht="17.25">
      <c r="A1004" s="196"/>
      <c r="B1004" s="196"/>
      <c r="C1004" s="196"/>
      <c r="D1004" s="196"/>
      <c r="E1004" s="196"/>
      <c r="F1004" s="196"/>
      <c r="G1004" s="196"/>
      <c r="H1004" s="196"/>
      <c r="I1004" s="196"/>
      <c r="J1004" s="196"/>
      <c r="K1004" s="196"/>
      <c r="L1004" s="196"/>
      <c r="M1004" s="196"/>
      <c r="N1004" s="196"/>
      <c r="O1004" s="196"/>
      <c r="P1004" s="196"/>
      <c r="Q1004" s="196"/>
      <c r="R1004" s="196"/>
      <c r="S1004" s="196"/>
      <c r="T1004" s="196"/>
      <c r="U1004" s="196"/>
      <c r="V1004" s="196"/>
      <c r="W1004" s="196"/>
      <c r="X1004" s="196"/>
      <c r="Y1004" s="196"/>
      <c r="Z1004" s="196"/>
    </row>
    <row r="1005" spans="1:26" ht="17.25">
      <c r="A1005" s="196"/>
      <c r="B1005" s="196"/>
      <c r="C1005" s="196"/>
      <c r="D1005" s="196"/>
      <c r="E1005" s="196"/>
      <c r="F1005" s="196"/>
      <c r="G1005" s="196"/>
      <c r="H1005" s="196"/>
      <c r="I1005" s="196"/>
      <c r="J1005" s="196"/>
      <c r="K1005" s="196"/>
      <c r="L1005" s="196"/>
      <c r="M1005" s="196"/>
      <c r="N1005" s="196"/>
      <c r="O1005" s="196"/>
      <c r="P1005" s="196"/>
      <c r="Q1005" s="196"/>
      <c r="R1005" s="196"/>
      <c r="S1005" s="196"/>
      <c r="T1005" s="196"/>
      <c r="U1005" s="196"/>
      <c r="V1005" s="196"/>
      <c r="W1005" s="196"/>
      <c r="X1005" s="196"/>
      <c r="Y1005" s="196"/>
      <c r="Z1005" s="196"/>
    </row>
    <row r="1006" spans="1:26" ht="17.25">
      <c r="A1006" s="196"/>
      <c r="B1006" s="196"/>
      <c r="C1006" s="196"/>
      <c r="D1006" s="196"/>
      <c r="E1006" s="196"/>
      <c r="F1006" s="196"/>
      <c r="G1006" s="196"/>
      <c r="H1006" s="196"/>
      <c r="I1006" s="196"/>
      <c r="J1006" s="196"/>
      <c r="K1006" s="196"/>
      <c r="L1006" s="196"/>
      <c r="M1006" s="196"/>
      <c r="N1006" s="196"/>
      <c r="O1006" s="196"/>
      <c r="P1006" s="196"/>
      <c r="Q1006" s="196"/>
      <c r="R1006" s="196"/>
      <c r="S1006" s="196"/>
      <c r="T1006" s="196"/>
      <c r="U1006" s="196"/>
      <c r="V1006" s="196"/>
      <c r="W1006" s="196"/>
      <c r="X1006" s="196"/>
      <c r="Y1006" s="196"/>
      <c r="Z1006" s="196"/>
    </row>
    <row r="1007" spans="1:26" ht="17.25">
      <c r="A1007" s="196"/>
      <c r="B1007" s="196"/>
      <c r="C1007" s="196"/>
      <c r="D1007" s="196"/>
      <c r="E1007" s="196"/>
      <c r="F1007" s="196"/>
      <c r="G1007" s="196"/>
      <c r="H1007" s="196"/>
      <c r="I1007" s="196"/>
      <c r="J1007" s="196"/>
      <c r="K1007" s="196"/>
      <c r="L1007" s="196"/>
      <c r="M1007" s="196"/>
      <c r="N1007" s="196"/>
      <c r="O1007" s="196"/>
      <c r="P1007" s="196"/>
      <c r="Q1007" s="196"/>
      <c r="R1007" s="196"/>
      <c r="S1007" s="196"/>
      <c r="T1007" s="196"/>
      <c r="U1007" s="196"/>
      <c r="V1007" s="196"/>
      <c r="W1007" s="196"/>
      <c r="X1007" s="196"/>
      <c r="Y1007" s="196"/>
      <c r="Z1007" s="196"/>
    </row>
    <row r="1008" spans="1:26" ht="17.25">
      <c r="A1008" s="196"/>
      <c r="B1008" s="196"/>
      <c r="C1008" s="196"/>
      <c r="D1008" s="196"/>
      <c r="E1008" s="196"/>
      <c r="F1008" s="196"/>
      <c r="G1008" s="196"/>
      <c r="H1008" s="196"/>
      <c r="I1008" s="196"/>
      <c r="J1008" s="196"/>
      <c r="K1008" s="196"/>
      <c r="L1008" s="196"/>
      <c r="M1008" s="196"/>
      <c r="N1008" s="196"/>
      <c r="O1008" s="196"/>
      <c r="P1008" s="196"/>
      <c r="Q1008" s="196"/>
      <c r="R1008" s="196"/>
      <c r="S1008" s="196"/>
      <c r="T1008" s="196"/>
      <c r="U1008" s="196"/>
      <c r="V1008" s="196"/>
      <c r="W1008" s="196"/>
      <c r="X1008" s="196"/>
      <c r="Y1008" s="196"/>
      <c r="Z1008" s="196"/>
    </row>
    <row r="1009" spans="1:26" ht="17.25">
      <c r="A1009" s="196"/>
      <c r="B1009" s="196"/>
      <c r="C1009" s="196"/>
      <c r="D1009" s="196"/>
      <c r="E1009" s="196"/>
      <c r="F1009" s="196"/>
      <c r="G1009" s="196"/>
      <c r="H1009" s="196"/>
      <c r="I1009" s="196"/>
      <c r="J1009" s="196"/>
      <c r="K1009" s="196"/>
      <c r="L1009" s="196"/>
      <c r="M1009" s="196"/>
      <c r="N1009" s="196"/>
      <c r="O1009" s="196"/>
      <c r="P1009" s="196"/>
      <c r="Q1009" s="196"/>
      <c r="R1009" s="196"/>
      <c r="S1009" s="196"/>
      <c r="T1009" s="196"/>
      <c r="U1009" s="196"/>
      <c r="V1009" s="196"/>
      <c r="W1009" s="196"/>
      <c r="X1009" s="196"/>
      <c r="Y1009" s="196"/>
      <c r="Z1009" s="196"/>
    </row>
    <row r="1010" spans="1:26" ht="17.25">
      <c r="A1010" s="196"/>
      <c r="B1010" s="196"/>
      <c r="C1010" s="196"/>
      <c r="D1010" s="196"/>
      <c r="E1010" s="196"/>
      <c r="F1010" s="196"/>
      <c r="G1010" s="196"/>
      <c r="H1010" s="196"/>
      <c r="I1010" s="196"/>
      <c r="J1010" s="196"/>
      <c r="K1010" s="196"/>
      <c r="L1010" s="196"/>
      <c r="M1010" s="196"/>
      <c r="N1010" s="196"/>
      <c r="O1010" s="196"/>
      <c r="P1010" s="196"/>
      <c r="Q1010" s="196"/>
      <c r="R1010" s="196"/>
      <c r="S1010" s="196"/>
      <c r="T1010" s="196"/>
      <c r="U1010" s="196"/>
      <c r="V1010" s="196"/>
      <c r="W1010" s="196"/>
      <c r="X1010" s="196"/>
      <c r="Y1010" s="196"/>
      <c r="Z1010" s="196"/>
    </row>
    <row r="1011" spans="1:26" ht="17.25">
      <c r="A1011" s="196"/>
      <c r="B1011" s="196"/>
      <c r="C1011" s="196"/>
      <c r="D1011" s="196"/>
      <c r="E1011" s="196"/>
      <c r="F1011" s="196"/>
      <c r="G1011" s="196"/>
      <c r="H1011" s="196"/>
      <c r="I1011" s="196"/>
      <c r="J1011" s="196"/>
      <c r="K1011" s="196"/>
      <c r="L1011" s="196"/>
      <c r="M1011" s="196"/>
      <c r="N1011" s="196"/>
      <c r="O1011" s="196"/>
      <c r="P1011" s="196"/>
      <c r="Q1011" s="196"/>
      <c r="R1011" s="196"/>
      <c r="S1011" s="196"/>
      <c r="T1011" s="196"/>
      <c r="U1011" s="196"/>
      <c r="V1011" s="196"/>
      <c r="W1011" s="196"/>
      <c r="X1011" s="196"/>
      <c r="Y1011" s="196"/>
      <c r="Z1011" s="196"/>
    </row>
    <row r="1012" spans="1:26" ht="17.25">
      <c r="A1012" s="196"/>
      <c r="B1012" s="196"/>
      <c r="C1012" s="196"/>
      <c r="D1012" s="196"/>
      <c r="E1012" s="196"/>
      <c r="F1012" s="196"/>
      <c r="G1012" s="196"/>
      <c r="H1012" s="196"/>
      <c r="I1012" s="196"/>
      <c r="J1012" s="196"/>
      <c r="K1012" s="196"/>
      <c r="L1012" s="196"/>
      <c r="M1012" s="196"/>
      <c r="N1012" s="196"/>
      <c r="O1012" s="196"/>
      <c r="P1012" s="196"/>
      <c r="Q1012" s="196"/>
      <c r="R1012" s="196"/>
      <c r="S1012" s="196"/>
      <c r="T1012" s="196"/>
      <c r="U1012" s="196"/>
      <c r="V1012" s="196"/>
      <c r="W1012" s="196"/>
      <c r="X1012" s="196"/>
      <c r="Y1012" s="196"/>
      <c r="Z1012" s="196"/>
    </row>
    <row r="1013" spans="1:26" ht="17.25">
      <c r="A1013" s="196"/>
      <c r="B1013" s="196"/>
      <c r="C1013" s="196"/>
      <c r="D1013" s="196"/>
      <c r="E1013" s="196"/>
      <c r="F1013" s="196"/>
      <c r="G1013" s="196"/>
      <c r="H1013" s="196"/>
      <c r="I1013" s="196"/>
      <c r="J1013" s="196"/>
      <c r="K1013" s="196"/>
      <c r="L1013" s="196"/>
      <c r="M1013" s="196"/>
      <c r="N1013" s="196"/>
      <c r="O1013" s="196"/>
      <c r="P1013" s="196"/>
      <c r="Q1013" s="196"/>
      <c r="R1013" s="196"/>
      <c r="S1013" s="196"/>
      <c r="T1013" s="196"/>
      <c r="U1013" s="196"/>
      <c r="V1013" s="196"/>
      <c r="W1013" s="196"/>
      <c r="X1013" s="196"/>
      <c r="Y1013" s="196"/>
      <c r="Z1013" s="196"/>
    </row>
    <row r="1014" spans="1:26" ht="17.25">
      <c r="A1014" s="196"/>
      <c r="B1014" s="196"/>
      <c r="C1014" s="196"/>
      <c r="D1014" s="196"/>
      <c r="E1014" s="196"/>
      <c r="F1014" s="196"/>
      <c r="G1014" s="196"/>
      <c r="H1014" s="196"/>
      <c r="I1014" s="196"/>
      <c r="J1014" s="196"/>
      <c r="K1014" s="196"/>
      <c r="L1014" s="196"/>
      <c r="M1014" s="196"/>
      <c r="N1014" s="196"/>
      <c r="O1014" s="196"/>
      <c r="P1014" s="196"/>
      <c r="Q1014" s="196"/>
      <c r="R1014" s="196"/>
      <c r="S1014" s="196"/>
      <c r="T1014" s="196"/>
      <c r="U1014" s="196"/>
      <c r="V1014" s="196"/>
      <c r="W1014" s="196"/>
      <c r="X1014" s="196"/>
      <c r="Y1014" s="196"/>
      <c r="Z1014" s="196"/>
    </row>
    <row r="1015" spans="1:26" ht="17.25">
      <c r="A1015" s="196"/>
      <c r="B1015" s="196"/>
      <c r="C1015" s="196"/>
      <c r="D1015" s="196"/>
      <c r="E1015" s="196"/>
      <c r="F1015" s="196"/>
      <c r="G1015" s="196"/>
      <c r="H1015" s="196"/>
      <c r="I1015" s="196"/>
      <c r="J1015" s="196"/>
      <c r="K1015" s="196"/>
      <c r="L1015" s="196"/>
      <c r="M1015" s="196"/>
      <c r="N1015" s="196"/>
      <c r="O1015" s="196"/>
      <c r="P1015" s="196"/>
      <c r="Q1015" s="196"/>
      <c r="R1015" s="196"/>
      <c r="S1015" s="196"/>
      <c r="T1015" s="196"/>
      <c r="U1015" s="196"/>
      <c r="V1015" s="196"/>
      <c r="W1015" s="196"/>
      <c r="X1015" s="196"/>
      <c r="Y1015" s="196"/>
      <c r="Z1015" s="196"/>
    </row>
    <row r="1016" spans="1:26" ht="17.25">
      <c r="A1016" s="196"/>
      <c r="B1016" s="196"/>
      <c r="C1016" s="196"/>
      <c r="D1016" s="196"/>
      <c r="E1016" s="196"/>
      <c r="F1016" s="196"/>
      <c r="G1016" s="196"/>
      <c r="H1016" s="196"/>
      <c r="I1016" s="196"/>
      <c r="J1016" s="196"/>
      <c r="K1016" s="196"/>
      <c r="L1016" s="196"/>
      <c r="M1016" s="196"/>
      <c r="N1016" s="196"/>
      <c r="O1016" s="196"/>
      <c r="P1016" s="196"/>
      <c r="Q1016" s="196"/>
      <c r="R1016" s="196"/>
      <c r="S1016" s="196"/>
      <c r="T1016" s="196"/>
      <c r="U1016" s="196"/>
      <c r="V1016" s="196"/>
      <c r="W1016" s="196"/>
      <c r="X1016" s="196"/>
      <c r="Y1016" s="196"/>
      <c r="Z1016" s="196"/>
    </row>
    <row r="1017" spans="1:26" ht="17.25">
      <c r="A1017" s="196"/>
      <c r="B1017" s="196"/>
      <c r="C1017" s="196"/>
      <c r="D1017" s="196"/>
      <c r="E1017" s="196"/>
      <c r="F1017" s="196"/>
      <c r="G1017" s="196"/>
      <c r="H1017" s="196"/>
      <c r="I1017" s="196"/>
      <c r="J1017" s="196"/>
      <c r="K1017" s="196"/>
      <c r="L1017" s="196"/>
      <c r="M1017" s="196"/>
      <c r="N1017" s="196"/>
      <c r="O1017" s="196"/>
      <c r="P1017" s="196"/>
      <c r="Q1017" s="196"/>
      <c r="R1017" s="196"/>
      <c r="S1017" s="196"/>
      <c r="T1017" s="196"/>
      <c r="U1017" s="196"/>
      <c r="V1017" s="196"/>
      <c r="W1017" s="196"/>
      <c r="X1017" s="196"/>
      <c r="Y1017" s="196"/>
      <c r="Z1017" s="196"/>
    </row>
    <row r="1018" spans="1:26" ht="17.25">
      <c r="A1018" s="196"/>
      <c r="B1018" s="196"/>
      <c r="C1018" s="196"/>
      <c r="D1018" s="196"/>
      <c r="E1018" s="196"/>
      <c r="F1018" s="196"/>
      <c r="G1018" s="196"/>
      <c r="H1018" s="196"/>
      <c r="I1018" s="196"/>
      <c r="J1018" s="196"/>
      <c r="K1018" s="196"/>
      <c r="L1018" s="196"/>
      <c r="M1018" s="196"/>
      <c r="N1018" s="196"/>
      <c r="O1018" s="196"/>
      <c r="P1018" s="196"/>
      <c r="Q1018" s="196"/>
      <c r="R1018" s="196"/>
      <c r="S1018" s="196"/>
      <c r="T1018" s="196"/>
      <c r="U1018" s="196"/>
      <c r="V1018" s="196"/>
      <c r="W1018" s="196"/>
      <c r="X1018" s="196"/>
      <c r="Y1018" s="196"/>
      <c r="Z1018" s="196"/>
    </row>
    <row r="1019" spans="1:26" ht="17.25">
      <c r="A1019" s="196"/>
      <c r="B1019" s="196"/>
      <c r="C1019" s="196"/>
      <c r="D1019" s="196"/>
      <c r="E1019" s="196"/>
      <c r="F1019" s="196"/>
      <c r="G1019" s="196"/>
      <c r="H1019" s="196"/>
      <c r="I1019" s="196"/>
      <c r="J1019" s="196"/>
      <c r="K1019" s="196"/>
      <c r="L1019" s="196"/>
      <c r="M1019" s="196"/>
      <c r="N1019" s="196"/>
      <c r="O1019" s="196"/>
      <c r="P1019" s="196"/>
      <c r="Q1019" s="196"/>
      <c r="R1019" s="196"/>
      <c r="S1019" s="196"/>
      <c r="T1019" s="196"/>
      <c r="U1019" s="196"/>
      <c r="V1019" s="196"/>
      <c r="W1019" s="196"/>
      <c r="X1019" s="196"/>
      <c r="Y1019" s="196"/>
      <c r="Z1019" s="196"/>
    </row>
    <row r="1020" spans="1:26" ht="17.25">
      <c r="A1020" s="196"/>
      <c r="B1020" s="196"/>
      <c r="C1020" s="196"/>
      <c r="D1020" s="196"/>
      <c r="E1020" s="196"/>
      <c r="F1020" s="196"/>
      <c r="G1020" s="196"/>
      <c r="H1020" s="196"/>
      <c r="I1020" s="196"/>
      <c r="J1020" s="196"/>
      <c r="K1020" s="196"/>
      <c r="L1020" s="196"/>
      <c r="M1020" s="196"/>
      <c r="N1020" s="196"/>
      <c r="O1020" s="196"/>
      <c r="P1020" s="196"/>
      <c r="Q1020" s="196"/>
      <c r="R1020" s="196"/>
      <c r="S1020" s="196"/>
      <c r="T1020" s="196"/>
      <c r="U1020" s="196"/>
      <c r="V1020" s="196"/>
      <c r="W1020" s="196"/>
      <c r="X1020" s="196"/>
      <c r="Y1020" s="196"/>
      <c r="Z1020" s="196"/>
    </row>
    <row r="1021" spans="1:26" ht="17.25">
      <c r="A1021" s="196"/>
      <c r="B1021" s="196"/>
      <c r="C1021" s="196"/>
      <c r="D1021" s="196"/>
      <c r="E1021" s="196"/>
      <c r="F1021" s="196"/>
      <c r="G1021" s="196"/>
      <c r="H1021" s="196"/>
      <c r="I1021" s="196"/>
      <c r="J1021" s="196"/>
      <c r="K1021" s="196"/>
      <c r="L1021" s="196"/>
      <c r="M1021" s="196"/>
      <c r="N1021" s="196"/>
      <c r="O1021" s="196"/>
      <c r="P1021" s="196"/>
      <c r="Q1021" s="196"/>
      <c r="R1021" s="196"/>
      <c r="S1021" s="196"/>
      <c r="T1021" s="196"/>
      <c r="U1021" s="196"/>
      <c r="V1021" s="196"/>
      <c r="W1021" s="196"/>
      <c r="X1021" s="196"/>
      <c r="Y1021" s="196"/>
      <c r="Z1021" s="196"/>
    </row>
    <row r="1022" spans="1:26" ht="17.25">
      <c r="A1022" s="196"/>
      <c r="B1022" s="196"/>
      <c r="C1022" s="196"/>
      <c r="D1022" s="196"/>
      <c r="E1022" s="196"/>
      <c r="F1022" s="196"/>
      <c r="G1022" s="196"/>
      <c r="H1022" s="196"/>
      <c r="I1022" s="196"/>
      <c r="J1022" s="196"/>
      <c r="K1022" s="196"/>
      <c r="L1022" s="196"/>
      <c r="M1022" s="196"/>
      <c r="N1022" s="196"/>
      <c r="O1022" s="196"/>
      <c r="P1022" s="196"/>
      <c r="Q1022" s="196"/>
      <c r="R1022" s="196"/>
      <c r="S1022" s="196"/>
      <c r="T1022" s="196"/>
      <c r="U1022" s="196"/>
      <c r="V1022" s="196"/>
      <c r="W1022" s="196"/>
      <c r="X1022" s="196"/>
      <c r="Y1022" s="196"/>
      <c r="Z1022" s="196"/>
    </row>
    <row r="1023" spans="1:26" ht="17.25">
      <c r="A1023" s="196"/>
      <c r="B1023" s="196"/>
      <c r="C1023" s="196"/>
      <c r="D1023" s="196"/>
      <c r="E1023" s="196"/>
      <c r="F1023" s="196"/>
      <c r="G1023" s="196"/>
      <c r="H1023" s="196"/>
      <c r="I1023" s="196"/>
      <c r="J1023" s="196"/>
      <c r="K1023" s="196"/>
      <c r="L1023" s="196"/>
      <c r="M1023" s="196"/>
      <c r="N1023" s="196"/>
      <c r="O1023" s="196"/>
      <c r="P1023" s="196"/>
      <c r="Q1023" s="196"/>
      <c r="R1023" s="196"/>
      <c r="S1023" s="196"/>
      <c r="T1023" s="196"/>
      <c r="U1023" s="196"/>
      <c r="V1023" s="196"/>
      <c r="W1023" s="196"/>
      <c r="X1023" s="196"/>
      <c r="Y1023" s="196"/>
      <c r="Z1023" s="196"/>
    </row>
    <row r="1024" spans="1:26" ht="17.25">
      <c r="A1024" s="196"/>
      <c r="B1024" s="196"/>
      <c r="C1024" s="196"/>
      <c r="D1024" s="196"/>
      <c r="E1024" s="196"/>
      <c r="F1024" s="196"/>
      <c r="G1024" s="196"/>
      <c r="H1024" s="196"/>
      <c r="I1024" s="196"/>
      <c r="J1024" s="196"/>
      <c r="K1024" s="196"/>
      <c r="L1024" s="196"/>
      <c r="M1024" s="196"/>
      <c r="N1024" s="196"/>
      <c r="O1024" s="196"/>
      <c r="P1024" s="196"/>
      <c r="Q1024" s="196"/>
      <c r="R1024" s="196"/>
      <c r="S1024" s="196"/>
      <c r="T1024" s="196"/>
      <c r="U1024" s="196"/>
      <c r="V1024" s="196"/>
      <c r="W1024" s="196"/>
      <c r="X1024" s="196"/>
      <c r="Y1024" s="196"/>
      <c r="Z1024" s="196"/>
    </row>
    <row r="1025" spans="1:26" ht="17.25">
      <c r="A1025" s="196"/>
      <c r="B1025" s="196"/>
      <c r="C1025" s="196"/>
      <c r="D1025" s="196"/>
      <c r="E1025" s="196"/>
      <c r="F1025" s="196"/>
      <c r="G1025" s="196"/>
      <c r="H1025" s="196"/>
      <c r="I1025" s="196"/>
      <c r="J1025" s="196"/>
      <c r="K1025" s="196"/>
      <c r="L1025" s="196"/>
      <c r="M1025" s="196"/>
      <c r="N1025" s="196"/>
      <c r="O1025" s="196"/>
      <c r="P1025" s="196"/>
      <c r="Q1025" s="196"/>
      <c r="R1025" s="196"/>
      <c r="S1025" s="196"/>
      <c r="T1025" s="196"/>
      <c r="U1025" s="196"/>
      <c r="V1025" s="196"/>
      <c r="W1025" s="196"/>
      <c r="X1025" s="196"/>
      <c r="Y1025" s="196"/>
      <c r="Z1025" s="196"/>
    </row>
    <row r="1026" spans="1:26" ht="17.25">
      <c r="A1026" s="196"/>
      <c r="B1026" s="196"/>
      <c r="C1026" s="196"/>
      <c r="D1026" s="196"/>
      <c r="E1026" s="196"/>
      <c r="F1026" s="196"/>
      <c r="G1026" s="196"/>
      <c r="H1026" s="196"/>
      <c r="I1026" s="196"/>
      <c r="J1026" s="196"/>
      <c r="K1026" s="196"/>
      <c r="L1026" s="196"/>
      <c r="M1026" s="196"/>
      <c r="N1026" s="196"/>
      <c r="O1026" s="196"/>
      <c r="P1026" s="196"/>
      <c r="Q1026" s="196"/>
      <c r="R1026" s="196"/>
      <c r="S1026" s="196"/>
      <c r="T1026" s="196"/>
      <c r="U1026" s="196"/>
      <c r="V1026" s="196"/>
      <c r="W1026" s="196"/>
      <c r="X1026" s="196"/>
      <c r="Y1026" s="196"/>
      <c r="Z1026" s="196"/>
    </row>
    <row r="1027" spans="1:26" ht="17.25">
      <c r="A1027" s="196"/>
      <c r="B1027" s="196"/>
      <c r="C1027" s="196"/>
      <c r="D1027" s="196"/>
      <c r="E1027" s="196"/>
      <c r="F1027" s="196"/>
      <c r="G1027" s="196"/>
      <c r="H1027" s="196"/>
      <c r="I1027" s="196"/>
      <c r="J1027" s="196"/>
      <c r="K1027" s="196"/>
      <c r="L1027" s="196"/>
      <c r="M1027" s="196"/>
      <c r="N1027" s="196"/>
      <c r="O1027" s="196"/>
      <c r="P1027" s="196"/>
      <c r="Q1027" s="196"/>
      <c r="R1027" s="196"/>
      <c r="S1027" s="196"/>
      <c r="T1027" s="196"/>
      <c r="U1027" s="196"/>
      <c r="V1027" s="196"/>
      <c r="W1027" s="196"/>
      <c r="X1027" s="196"/>
      <c r="Y1027" s="196"/>
      <c r="Z1027" s="196"/>
    </row>
    <row r="1028" spans="1:26" ht="17.25">
      <c r="A1028" s="196"/>
      <c r="B1028" s="196"/>
      <c r="C1028" s="196"/>
      <c r="D1028" s="196"/>
      <c r="E1028" s="196"/>
      <c r="F1028" s="196"/>
      <c r="G1028" s="196"/>
      <c r="H1028" s="196"/>
      <c r="I1028" s="196"/>
      <c r="J1028" s="196"/>
      <c r="K1028" s="196"/>
      <c r="L1028" s="196"/>
      <c r="M1028" s="196"/>
      <c r="N1028" s="196"/>
      <c r="O1028" s="196"/>
      <c r="P1028" s="196"/>
      <c r="Q1028" s="196"/>
      <c r="R1028" s="196"/>
      <c r="S1028" s="196"/>
      <c r="T1028" s="196"/>
      <c r="U1028" s="196"/>
      <c r="V1028" s="196"/>
      <c r="W1028" s="196"/>
      <c r="X1028" s="196"/>
      <c r="Y1028" s="196"/>
      <c r="Z1028" s="196"/>
    </row>
    <row r="1029" spans="1:26" ht="17.25">
      <c r="A1029" s="196"/>
      <c r="B1029" s="196"/>
      <c r="C1029" s="196"/>
      <c r="D1029" s="196"/>
      <c r="E1029" s="196"/>
      <c r="F1029" s="196"/>
      <c r="G1029" s="196"/>
      <c r="H1029" s="196"/>
      <c r="I1029" s="196"/>
      <c r="J1029" s="196"/>
      <c r="K1029" s="196"/>
      <c r="L1029" s="196"/>
      <c r="M1029" s="196"/>
      <c r="N1029" s="196"/>
      <c r="O1029" s="196"/>
      <c r="P1029" s="196"/>
      <c r="Q1029" s="196"/>
      <c r="R1029" s="196"/>
      <c r="S1029" s="196"/>
      <c r="T1029" s="196"/>
      <c r="U1029" s="196"/>
      <c r="V1029" s="196"/>
      <c r="W1029" s="196"/>
      <c r="X1029" s="196"/>
      <c r="Y1029" s="196"/>
      <c r="Z1029" s="196"/>
    </row>
    <row r="1030" spans="1:26" ht="17.25">
      <c r="A1030" s="196"/>
      <c r="B1030" s="196"/>
      <c r="C1030" s="196"/>
      <c r="D1030" s="196"/>
      <c r="E1030" s="196"/>
      <c r="F1030" s="196"/>
      <c r="G1030" s="196"/>
      <c r="H1030" s="196"/>
      <c r="I1030" s="196"/>
      <c r="J1030" s="196"/>
      <c r="K1030" s="196"/>
      <c r="L1030" s="196"/>
      <c r="M1030" s="196"/>
      <c r="N1030" s="196"/>
      <c r="O1030" s="196"/>
      <c r="P1030" s="196"/>
      <c r="Q1030" s="196"/>
      <c r="R1030" s="196"/>
      <c r="S1030" s="196"/>
      <c r="T1030" s="196"/>
      <c r="U1030" s="196"/>
      <c r="V1030" s="196"/>
      <c r="W1030" s="196"/>
      <c r="X1030" s="196"/>
      <c r="Y1030" s="196"/>
      <c r="Z1030" s="196"/>
    </row>
    <row r="1031" spans="1:26" ht="17.25">
      <c r="A1031" s="196"/>
      <c r="B1031" s="196"/>
      <c r="C1031" s="196"/>
      <c r="D1031" s="196"/>
      <c r="E1031" s="196"/>
      <c r="F1031" s="196"/>
      <c r="G1031" s="196"/>
      <c r="H1031" s="196"/>
      <c r="I1031" s="196"/>
      <c r="J1031" s="196"/>
      <c r="K1031" s="196"/>
      <c r="L1031" s="196"/>
      <c r="M1031" s="196"/>
      <c r="N1031" s="196"/>
      <c r="O1031" s="196"/>
      <c r="P1031" s="196"/>
      <c r="Q1031" s="196"/>
      <c r="R1031" s="196"/>
      <c r="S1031" s="196"/>
      <c r="T1031" s="196"/>
      <c r="U1031" s="196"/>
      <c r="V1031" s="196"/>
      <c r="W1031" s="196"/>
      <c r="X1031" s="196"/>
      <c r="Y1031" s="196"/>
      <c r="Z1031" s="196"/>
    </row>
    <row r="1032" spans="1:26" ht="17.25">
      <c r="A1032" s="196"/>
      <c r="B1032" s="196"/>
      <c r="C1032" s="196"/>
      <c r="D1032" s="196"/>
      <c r="E1032" s="196"/>
      <c r="F1032" s="196"/>
      <c r="G1032" s="196"/>
      <c r="H1032" s="196"/>
      <c r="I1032" s="196"/>
      <c r="J1032" s="196"/>
      <c r="K1032" s="196"/>
      <c r="L1032" s="196"/>
      <c r="M1032" s="196"/>
      <c r="N1032" s="196"/>
      <c r="O1032" s="196"/>
      <c r="P1032" s="196"/>
      <c r="Q1032" s="196"/>
      <c r="R1032" s="196"/>
      <c r="S1032" s="196"/>
      <c r="T1032" s="196"/>
      <c r="U1032" s="196"/>
      <c r="V1032" s="196"/>
      <c r="W1032" s="196"/>
      <c r="X1032" s="196"/>
      <c r="Y1032" s="196"/>
      <c r="Z1032" s="196"/>
    </row>
    <row r="1033" spans="1:26" ht="17.25">
      <c r="A1033" s="196"/>
      <c r="B1033" s="196"/>
      <c r="C1033" s="196"/>
      <c r="D1033" s="196"/>
      <c r="E1033" s="196"/>
      <c r="F1033" s="196"/>
      <c r="G1033" s="196"/>
      <c r="H1033" s="196"/>
      <c r="I1033" s="196"/>
      <c r="J1033" s="196"/>
      <c r="K1033" s="196"/>
      <c r="L1033" s="196"/>
      <c r="M1033" s="196"/>
      <c r="N1033" s="196"/>
      <c r="O1033" s="196"/>
      <c r="P1033" s="196"/>
      <c r="Q1033" s="196"/>
      <c r="R1033" s="196"/>
      <c r="S1033" s="196"/>
      <c r="T1033" s="196"/>
      <c r="U1033" s="196"/>
      <c r="V1033" s="196"/>
      <c r="W1033" s="196"/>
      <c r="X1033" s="196"/>
      <c r="Y1033" s="196"/>
      <c r="Z1033" s="196"/>
    </row>
    <row r="1034" spans="1:26" ht="17.25">
      <c r="A1034" s="196"/>
      <c r="B1034" s="196"/>
      <c r="C1034" s="196"/>
      <c r="D1034" s="196"/>
      <c r="E1034" s="196"/>
      <c r="F1034" s="196"/>
      <c r="G1034" s="196"/>
      <c r="H1034" s="196"/>
      <c r="I1034" s="196"/>
      <c r="J1034" s="196"/>
      <c r="K1034" s="196"/>
      <c r="L1034" s="196"/>
      <c r="M1034" s="196"/>
      <c r="N1034" s="196"/>
      <c r="O1034" s="196"/>
      <c r="P1034" s="196"/>
      <c r="Q1034" s="196"/>
      <c r="R1034" s="196"/>
      <c r="S1034" s="196"/>
      <c r="T1034" s="196"/>
      <c r="U1034" s="196"/>
      <c r="V1034" s="196"/>
      <c r="W1034" s="196"/>
      <c r="X1034" s="196"/>
      <c r="Y1034" s="196"/>
      <c r="Z1034" s="196"/>
    </row>
    <row r="1035" spans="1:26" ht="17.25">
      <c r="A1035" s="196"/>
      <c r="B1035" s="196"/>
      <c r="C1035" s="196"/>
      <c r="D1035" s="196"/>
      <c r="E1035" s="196"/>
      <c r="F1035" s="196"/>
      <c r="G1035" s="196"/>
      <c r="H1035" s="196"/>
      <c r="I1035" s="196"/>
      <c r="J1035" s="196"/>
      <c r="K1035" s="196"/>
      <c r="L1035" s="196"/>
      <c r="M1035" s="196"/>
      <c r="N1035" s="196"/>
      <c r="O1035" s="196"/>
      <c r="P1035" s="196"/>
      <c r="Q1035" s="196"/>
      <c r="R1035" s="196"/>
      <c r="S1035" s="196"/>
      <c r="T1035" s="196"/>
      <c r="U1035" s="196"/>
      <c r="V1035" s="196"/>
      <c r="W1035" s="196"/>
      <c r="X1035" s="196"/>
      <c r="Y1035" s="196"/>
      <c r="Z1035" s="196"/>
    </row>
    <row r="1036" spans="1:26" ht="17.25">
      <c r="A1036" s="196"/>
      <c r="B1036" s="196"/>
      <c r="C1036" s="196"/>
      <c r="D1036" s="196"/>
      <c r="E1036" s="196"/>
      <c r="F1036" s="196"/>
      <c r="G1036" s="196"/>
      <c r="H1036" s="196"/>
      <c r="I1036" s="196"/>
      <c r="J1036" s="196"/>
      <c r="K1036" s="196"/>
      <c r="L1036" s="196"/>
      <c r="M1036" s="196"/>
      <c r="N1036" s="196"/>
      <c r="O1036" s="196"/>
      <c r="P1036" s="196"/>
      <c r="Q1036" s="196"/>
      <c r="R1036" s="196"/>
      <c r="S1036" s="196"/>
      <c r="T1036" s="196"/>
      <c r="U1036" s="196"/>
      <c r="V1036" s="196"/>
      <c r="W1036" s="196"/>
      <c r="X1036" s="196"/>
      <c r="Y1036" s="196"/>
      <c r="Z1036" s="196"/>
    </row>
    <row r="1037" spans="1:26" ht="17.25">
      <c r="A1037" s="196"/>
      <c r="B1037" s="196"/>
      <c r="C1037" s="196"/>
      <c r="D1037" s="196"/>
      <c r="E1037" s="196"/>
      <c r="F1037" s="196"/>
      <c r="G1037" s="196"/>
      <c r="H1037" s="196"/>
      <c r="I1037" s="196"/>
      <c r="J1037" s="196"/>
      <c r="K1037" s="196"/>
      <c r="L1037" s="196"/>
      <c r="M1037" s="196"/>
      <c r="N1037" s="196"/>
      <c r="O1037" s="196"/>
      <c r="P1037" s="196"/>
      <c r="Q1037" s="196"/>
      <c r="R1037" s="196"/>
      <c r="S1037" s="196"/>
      <c r="T1037" s="196"/>
      <c r="U1037" s="196"/>
      <c r="V1037" s="196"/>
      <c r="W1037" s="196"/>
      <c r="X1037" s="196"/>
      <c r="Y1037" s="196"/>
      <c r="Z1037" s="196"/>
    </row>
    <row r="1038" spans="1:26" ht="17.25">
      <c r="A1038" s="196"/>
      <c r="B1038" s="196"/>
      <c r="C1038" s="196"/>
      <c r="D1038" s="196"/>
      <c r="E1038" s="196"/>
      <c r="F1038" s="196"/>
      <c r="G1038" s="196"/>
      <c r="H1038" s="196"/>
      <c r="I1038" s="196"/>
      <c r="J1038" s="196"/>
      <c r="K1038" s="196"/>
      <c r="L1038" s="196"/>
      <c r="M1038" s="196"/>
      <c r="N1038" s="196"/>
      <c r="O1038" s="196"/>
      <c r="P1038" s="196"/>
      <c r="Q1038" s="196"/>
      <c r="R1038" s="196"/>
      <c r="S1038" s="196"/>
      <c r="T1038" s="196"/>
      <c r="U1038" s="196"/>
      <c r="V1038" s="196"/>
      <c r="W1038" s="196"/>
      <c r="X1038" s="196"/>
      <c r="Y1038" s="196"/>
      <c r="Z1038" s="196"/>
    </row>
    <row r="1039" spans="1:26" ht="17.25">
      <c r="A1039" s="196"/>
      <c r="B1039" s="196"/>
      <c r="C1039" s="196"/>
      <c r="D1039" s="196"/>
      <c r="E1039" s="196"/>
      <c r="F1039" s="196"/>
      <c r="G1039" s="196"/>
      <c r="H1039" s="196"/>
      <c r="I1039" s="196"/>
      <c r="J1039" s="196"/>
      <c r="K1039" s="196"/>
      <c r="L1039" s="196"/>
      <c r="M1039" s="196"/>
      <c r="N1039" s="196"/>
      <c r="O1039" s="196"/>
      <c r="P1039" s="196"/>
      <c r="Q1039" s="196"/>
      <c r="R1039" s="196"/>
      <c r="S1039" s="196"/>
      <c r="T1039" s="196"/>
      <c r="U1039" s="196"/>
      <c r="V1039" s="196"/>
      <c r="W1039" s="196"/>
      <c r="X1039" s="196"/>
      <c r="Y1039" s="196"/>
      <c r="Z1039" s="196"/>
    </row>
    <row r="1040" spans="1:26" ht="17.25">
      <c r="A1040" s="196"/>
      <c r="B1040" s="196"/>
      <c r="C1040" s="196"/>
      <c r="D1040" s="196"/>
      <c r="E1040" s="196"/>
      <c r="F1040" s="196"/>
      <c r="G1040" s="196"/>
      <c r="H1040" s="196"/>
      <c r="I1040" s="196"/>
      <c r="J1040" s="196"/>
      <c r="K1040" s="196"/>
      <c r="L1040" s="196"/>
      <c r="M1040" s="196"/>
      <c r="N1040" s="196"/>
      <c r="O1040" s="196"/>
      <c r="P1040" s="196"/>
      <c r="Q1040" s="196"/>
      <c r="R1040" s="196"/>
      <c r="S1040" s="196"/>
      <c r="T1040" s="196"/>
      <c r="U1040" s="196"/>
      <c r="V1040" s="196"/>
      <c r="W1040" s="196"/>
      <c r="X1040" s="196"/>
      <c r="Y1040" s="196"/>
      <c r="Z1040" s="196"/>
    </row>
    <row r="1041" spans="1:26" ht="17.25">
      <c r="A1041" s="196"/>
      <c r="B1041" s="196"/>
      <c r="C1041" s="196"/>
      <c r="D1041" s="196"/>
      <c r="E1041" s="196"/>
      <c r="F1041" s="196"/>
      <c r="G1041" s="196"/>
      <c r="H1041" s="196"/>
      <c r="I1041" s="196"/>
      <c r="J1041" s="196"/>
      <c r="K1041" s="196"/>
      <c r="L1041" s="196"/>
      <c r="M1041" s="196"/>
      <c r="N1041" s="196"/>
      <c r="O1041" s="196"/>
      <c r="P1041" s="196"/>
      <c r="Q1041" s="196"/>
      <c r="R1041" s="196"/>
      <c r="S1041" s="196"/>
      <c r="T1041" s="196"/>
      <c r="U1041" s="196"/>
      <c r="V1041" s="196"/>
      <c r="W1041" s="196"/>
      <c r="X1041" s="196"/>
      <c r="Y1041" s="196"/>
      <c r="Z1041" s="196"/>
    </row>
    <row r="1042" spans="1:26" ht="17.25">
      <c r="A1042" s="196"/>
      <c r="B1042" s="196"/>
      <c r="C1042" s="196"/>
      <c r="D1042" s="196"/>
      <c r="E1042" s="196"/>
      <c r="F1042" s="196"/>
      <c r="G1042" s="196"/>
      <c r="H1042" s="196"/>
      <c r="I1042" s="196"/>
      <c r="J1042" s="196"/>
      <c r="K1042" s="196"/>
      <c r="L1042" s="196"/>
      <c r="M1042" s="196"/>
      <c r="N1042" s="196"/>
      <c r="O1042" s="196"/>
      <c r="P1042" s="196"/>
      <c r="Q1042" s="196"/>
      <c r="R1042" s="196"/>
      <c r="S1042" s="196"/>
      <c r="T1042" s="196"/>
      <c r="U1042" s="196"/>
      <c r="V1042" s="196"/>
      <c r="W1042" s="196"/>
      <c r="X1042" s="196"/>
      <c r="Y1042" s="196"/>
      <c r="Z1042" s="196"/>
    </row>
    <row r="1043" spans="1:26" ht="17.25">
      <c r="A1043" s="196"/>
      <c r="B1043" s="196"/>
      <c r="C1043" s="196"/>
      <c r="D1043" s="196"/>
      <c r="E1043" s="196"/>
      <c r="F1043" s="196"/>
      <c r="G1043" s="196"/>
      <c r="H1043" s="196"/>
      <c r="I1043" s="196"/>
      <c r="J1043" s="196"/>
      <c r="K1043" s="196"/>
      <c r="L1043" s="196"/>
      <c r="M1043" s="196"/>
      <c r="N1043" s="196"/>
      <c r="O1043" s="196"/>
      <c r="P1043" s="196"/>
      <c r="Q1043" s="196"/>
      <c r="R1043" s="196"/>
      <c r="S1043" s="196"/>
      <c r="T1043" s="196"/>
      <c r="U1043" s="196"/>
      <c r="V1043" s="196"/>
      <c r="W1043" s="196"/>
      <c r="X1043" s="196"/>
      <c r="Y1043" s="196"/>
      <c r="Z1043" s="196"/>
    </row>
    <row r="1044" spans="1:26" ht="17.25">
      <c r="A1044" s="196"/>
      <c r="B1044" s="196"/>
      <c r="C1044" s="196"/>
      <c r="D1044" s="196"/>
      <c r="E1044" s="196"/>
      <c r="F1044" s="196"/>
      <c r="G1044" s="196"/>
      <c r="H1044" s="196"/>
      <c r="I1044" s="196"/>
      <c r="J1044" s="196"/>
      <c r="K1044" s="196"/>
      <c r="L1044" s="196"/>
      <c r="M1044" s="196"/>
      <c r="N1044" s="196"/>
      <c r="O1044" s="196"/>
      <c r="P1044" s="196"/>
      <c r="Q1044" s="196"/>
      <c r="R1044" s="196"/>
      <c r="S1044" s="196"/>
      <c r="T1044" s="196"/>
      <c r="U1044" s="196"/>
      <c r="V1044" s="196"/>
      <c r="W1044" s="196"/>
      <c r="X1044" s="196"/>
      <c r="Y1044" s="196"/>
      <c r="Z1044" s="196"/>
    </row>
    <row r="1045" spans="1:26" ht="17.25">
      <c r="A1045" s="196"/>
      <c r="B1045" s="196"/>
      <c r="C1045" s="196"/>
      <c r="D1045" s="196"/>
      <c r="E1045" s="196"/>
      <c r="F1045" s="196"/>
      <c r="G1045" s="196"/>
      <c r="H1045" s="196"/>
      <c r="I1045" s="196"/>
      <c r="J1045" s="196"/>
      <c r="K1045" s="196"/>
      <c r="L1045" s="196"/>
      <c r="M1045" s="196"/>
      <c r="N1045" s="196"/>
      <c r="O1045" s="196"/>
      <c r="P1045" s="196"/>
      <c r="Q1045" s="196"/>
      <c r="R1045" s="196"/>
      <c r="S1045" s="196"/>
      <c r="T1045" s="196"/>
      <c r="U1045" s="196"/>
      <c r="V1045" s="196"/>
      <c r="W1045" s="196"/>
      <c r="X1045" s="196"/>
      <c r="Y1045" s="196"/>
      <c r="Z1045" s="196"/>
    </row>
    <row r="1046" spans="1:26" ht="17.25">
      <c r="A1046" s="196"/>
      <c r="B1046" s="196"/>
      <c r="C1046" s="196"/>
      <c r="D1046" s="196"/>
      <c r="E1046" s="196"/>
      <c r="F1046" s="196"/>
      <c r="G1046" s="196"/>
      <c r="H1046" s="196"/>
      <c r="I1046" s="196"/>
      <c r="J1046" s="196"/>
      <c r="K1046" s="196"/>
      <c r="L1046" s="196"/>
      <c r="M1046" s="196"/>
      <c r="N1046" s="196"/>
      <c r="O1046" s="196"/>
      <c r="P1046" s="196"/>
      <c r="Q1046" s="196"/>
      <c r="R1046" s="196"/>
      <c r="S1046" s="196"/>
      <c r="T1046" s="196"/>
      <c r="U1046" s="196"/>
      <c r="V1046" s="196"/>
      <c r="W1046" s="196"/>
      <c r="X1046" s="196"/>
      <c r="Y1046" s="196"/>
      <c r="Z1046" s="196"/>
    </row>
    <row r="1047" spans="1:26" ht="17.25">
      <c r="A1047" s="196"/>
      <c r="B1047" s="196"/>
      <c r="C1047" s="196"/>
      <c r="D1047" s="196"/>
      <c r="E1047" s="196"/>
      <c r="F1047" s="196"/>
      <c r="G1047" s="196"/>
      <c r="H1047" s="196"/>
      <c r="I1047" s="196"/>
      <c r="J1047" s="196"/>
      <c r="K1047" s="196"/>
      <c r="L1047" s="196"/>
      <c r="M1047" s="196"/>
      <c r="N1047" s="196"/>
      <c r="O1047" s="196"/>
      <c r="P1047" s="196"/>
      <c r="Q1047" s="196"/>
      <c r="R1047" s="196"/>
      <c r="S1047" s="196"/>
      <c r="T1047" s="196"/>
      <c r="U1047" s="196"/>
      <c r="V1047" s="196"/>
      <c r="W1047" s="196"/>
      <c r="X1047" s="196"/>
      <c r="Y1047" s="196"/>
      <c r="Z1047" s="196"/>
    </row>
    <row r="1048" spans="1:26" ht="17.25">
      <c r="A1048" s="196"/>
      <c r="B1048" s="196"/>
      <c r="C1048" s="196"/>
      <c r="D1048" s="196"/>
      <c r="E1048" s="196"/>
      <c r="F1048" s="196"/>
      <c r="G1048" s="196"/>
      <c r="H1048" s="196"/>
      <c r="I1048" s="196"/>
      <c r="J1048" s="196"/>
      <c r="K1048" s="196"/>
      <c r="L1048" s="196"/>
      <c r="M1048" s="196"/>
      <c r="N1048" s="196"/>
      <c r="O1048" s="196"/>
      <c r="P1048" s="196"/>
      <c r="Q1048" s="196"/>
      <c r="R1048" s="196"/>
      <c r="S1048" s="196"/>
      <c r="T1048" s="196"/>
      <c r="U1048" s="196"/>
      <c r="V1048" s="196"/>
      <c r="W1048" s="196"/>
      <c r="X1048" s="196"/>
      <c r="Y1048" s="196"/>
      <c r="Z1048" s="196"/>
    </row>
    <row r="1049" spans="1:26" ht="17.25">
      <c r="A1049" s="196"/>
      <c r="B1049" s="196"/>
      <c r="C1049" s="196"/>
      <c r="D1049" s="196"/>
      <c r="E1049" s="196"/>
      <c r="F1049" s="196"/>
      <c r="G1049" s="196"/>
      <c r="H1049" s="196"/>
      <c r="I1049" s="196"/>
      <c r="J1049" s="196"/>
      <c r="K1049" s="196"/>
      <c r="L1049" s="196"/>
      <c r="M1049" s="196"/>
      <c r="N1049" s="196"/>
      <c r="O1049" s="196"/>
      <c r="P1049" s="196"/>
      <c r="Q1049" s="196"/>
      <c r="R1049" s="196"/>
      <c r="S1049" s="196"/>
      <c r="T1049" s="196"/>
      <c r="U1049" s="196"/>
      <c r="V1049" s="196"/>
      <c r="W1049" s="196"/>
      <c r="X1049" s="196"/>
      <c r="Y1049" s="196"/>
      <c r="Z1049" s="196"/>
    </row>
    <row r="1050" spans="1:26" ht="17.25">
      <c r="A1050" s="196"/>
      <c r="B1050" s="196"/>
      <c r="C1050" s="196"/>
      <c r="D1050" s="196"/>
      <c r="E1050" s="196"/>
      <c r="F1050" s="196"/>
      <c r="G1050" s="196"/>
      <c r="H1050" s="196"/>
      <c r="I1050" s="196"/>
      <c r="J1050" s="196"/>
      <c r="K1050" s="196"/>
      <c r="L1050" s="196"/>
      <c r="M1050" s="196"/>
      <c r="N1050" s="196"/>
      <c r="O1050" s="196"/>
      <c r="P1050" s="196"/>
      <c r="Q1050" s="196"/>
      <c r="R1050" s="196"/>
      <c r="S1050" s="196"/>
      <c r="T1050" s="196"/>
      <c r="U1050" s="196"/>
      <c r="V1050" s="196"/>
      <c r="W1050" s="196"/>
      <c r="X1050" s="196"/>
      <c r="Y1050" s="196"/>
      <c r="Z1050" s="196"/>
    </row>
    <row r="1051" spans="1:26" ht="17.25">
      <c r="A1051" s="196"/>
      <c r="B1051" s="196"/>
      <c r="C1051" s="196"/>
      <c r="D1051" s="196"/>
      <c r="E1051" s="196"/>
      <c r="F1051" s="196"/>
      <c r="G1051" s="196"/>
      <c r="H1051" s="196"/>
      <c r="I1051" s="196"/>
      <c r="J1051" s="196"/>
      <c r="K1051" s="196"/>
      <c r="L1051" s="196"/>
      <c r="M1051" s="196"/>
      <c r="N1051" s="196"/>
      <c r="O1051" s="196"/>
      <c r="P1051" s="196"/>
      <c r="Q1051" s="196"/>
      <c r="R1051" s="196"/>
      <c r="S1051" s="196"/>
      <c r="T1051" s="196"/>
      <c r="U1051" s="196"/>
      <c r="V1051" s="196"/>
      <c r="W1051" s="196"/>
      <c r="X1051" s="196"/>
      <c r="Y1051" s="196"/>
      <c r="Z1051" s="196"/>
    </row>
    <row r="1052" spans="1:26" ht="17.25">
      <c r="A1052" s="196"/>
      <c r="B1052" s="196"/>
      <c r="C1052" s="196"/>
      <c r="D1052" s="196"/>
      <c r="E1052" s="196"/>
      <c r="F1052" s="196"/>
      <c r="G1052" s="196"/>
      <c r="H1052" s="196"/>
      <c r="I1052" s="196"/>
      <c r="J1052" s="196"/>
      <c r="K1052" s="196"/>
      <c r="L1052" s="196"/>
      <c r="M1052" s="196"/>
      <c r="N1052" s="196"/>
      <c r="O1052" s="196"/>
      <c r="P1052" s="196"/>
      <c r="Q1052" s="196"/>
      <c r="R1052" s="196"/>
      <c r="S1052" s="196"/>
      <c r="T1052" s="196"/>
      <c r="U1052" s="196"/>
      <c r="V1052" s="196"/>
      <c r="W1052" s="196"/>
      <c r="X1052" s="196"/>
      <c r="Y1052" s="196"/>
      <c r="Z1052" s="196"/>
    </row>
    <row r="1053" spans="1:26" ht="17.25">
      <c r="A1053" s="196"/>
      <c r="B1053" s="196"/>
      <c r="C1053" s="196"/>
      <c r="D1053" s="196"/>
      <c r="E1053" s="196"/>
      <c r="F1053" s="196"/>
      <c r="G1053" s="196"/>
      <c r="H1053" s="196"/>
      <c r="I1053" s="196"/>
      <c r="J1053" s="196"/>
      <c r="K1053" s="196"/>
      <c r="L1053" s="196"/>
      <c r="M1053" s="196"/>
      <c r="N1053" s="196"/>
      <c r="O1053" s="196"/>
      <c r="P1053" s="196"/>
      <c r="Q1053" s="196"/>
      <c r="R1053" s="196"/>
      <c r="S1053" s="196"/>
      <c r="T1053" s="196"/>
      <c r="U1053" s="196"/>
      <c r="V1053" s="196"/>
      <c r="W1053" s="196"/>
      <c r="X1053" s="196"/>
      <c r="Y1053" s="196"/>
      <c r="Z1053" s="196"/>
    </row>
    <row r="1054" spans="1:26" ht="17.25">
      <c r="A1054" s="196"/>
      <c r="B1054" s="196"/>
      <c r="C1054" s="196"/>
      <c r="D1054" s="196"/>
      <c r="E1054" s="196"/>
      <c r="F1054" s="196"/>
      <c r="G1054" s="196"/>
      <c r="H1054" s="196"/>
      <c r="I1054" s="196"/>
      <c r="J1054" s="196"/>
      <c r="K1054" s="196"/>
      <c r="L1054" s="196"/>
      <c r="M1054" s="196"/>
      <c r="N1054" s="196"/>
      <c r="O1054" s="196"/>
      <c r="P1054" s="196"/>
      <c r="Q1054" s="196"/>
      <c r="R1054" s="196"/>
      <c r="S1054" s="196"/>
      <c r="T1054" s="196"/>
      <c r="U1054" s="196"/>
      <c r="V1054" s="196"/>
      <c r="W1054" s="196"/>
      <c r="X1054" s="196"/>
      <c r="Y1054" s="196"/>
      <c r="Z1054" s="196"/>
    </row>
    <row r="1055" spans="1:26" ht="17.25">
      <c r="A1055" s="196"/>
      <c r="B1055" s="196"/>
      <c r="C1055" s="196"/>
      <c r="D1055" s="196"/>
      <c r="E1055" s="196"/>
      <c r="F1055" s="196"/>
      <c r="G1055" s="196"/>
      <c r="H1055" s="196"/>
      <c r="I1055" s="196"/>
      <c r="J1055" s="196"/>
      <c r="K1055" s="196"/>
      <c r="L1055" s="196"/>
      <c r="M1055" s="196"/>
      <c r="N1055" s="196"/>
      <c r="O1055" s="196"/>
      <c r="P1055" s="196"/>
      <c r="Q1055" s="196"/>
      <c r="R1055" s="196"/>
      <c r="S1055" s="196"/>
      <c r="T1055" s="196"/>
      <c r="U1055" s="196"/>
      <c r="V1055" s="196"/>
      <c r="W1055" s="196"/>
      <c r="X1055" s="196"/>
      <c r="Y1055" s="196"/>
      <c r="Z1055" s="196"/>
    </row>
    <row r="1056" spans="1:26" ht="17.25">
      <c r="A1056" s="196"/>
      <c r="B1056" s="196"/>
      <c r="C1056" s="196"/>
      <c r="D1056" s="196"/>
      <c r="E1056" s="196"/>
      <c r="F1056" s="196"/>
      <c r="G1056" s="196"/>
      <c r="H1056" s="196"/>
      <c r="I1056" s="196"/>
      <c r="J1056" s="196"/>
      <c r="K1056" s="196"/>
      <c r="L1056" s="196"/>
      <c r="M1056" s="196"/>
      <c r="N1056" s="196"/>
      <c r="O1056" s="196"/>
      <c r="P1056" s="196"/>
      <c r="Q1056" s="196"/>
      <c r="R1056" s="196"/>
      <c r="S1056" s="196"/>
      <c r="T1056" s="196"/>
      <c r="U1056" s="196"/>
      <c r="V1056" s="196"/>
      <c r="W1056" s="196"/>
      <c r="X1056" s="196"/>
      <c r="Y1056" s="196"/>
      <c r="Z1056" s="196"/>
    </row>
    <row r="1057" spans="1:26" ht="17.25">
      <c r="A1057" s="196"/>
      <c r="B1057" s="196"/>
      <c r="C1057" s="196"/>
      <c r="D1057" s="196"/>
      <c r="E1057" s="196"/>
      <c r="F1057" s="196"/>
      <c r="G1057" s="196"/>
      <c r="H1057" s="196"/>
      <c r="I1057" s="196"/>
      <c r="J1057" s="196"/>
      <c r="K1057" s="196"/>
      <c r="L1057" s="196"/>
      <c r="M1057" s="196"/>
      <c r="N1057" s="196"/>
      <c r="O1057" s="196"/>
      <c r="P1057" s="196"/>
      <c r="Q1057" s="196"/>
      <c r="R1057" s="196"/>
      <c r="S1057" s="196"/>
      <c r="T1057" s="196"/>
      <c r="U1057" s="196"/>
      <c r="V1057" s="196"/>
      <c r="W1057" s="196"/>
      <c r="X1057" s="196"/>
      <c r="Y1057" s="196"/>
      <c r="Z1057" s="196"/>
    </row>
    <row r="1058" spans="1:26" ht="17.25">
      <c r="A1058" s="196"/>
      <c r="B1058" s="196"/>
      <c r="C1058" s="196"/>
      <c r="D1058" s="196"/>
      <c r="E1058" s="196"/>
      <c r="F1058" s="196"/>
      <c r="G1058" s="196"/>
      <c r="H1058" s="196"/>
      <c r="I1058" s="196"/>
      <c r="J1058" s="196"/>
      <c r="K1058" s="196"/>
      <c r="L1058" s="196"/>
      <c r="M1058" s="196"/>
      <c r="N1058" s="196"/>
      <c r="O1058" s="196"/>
      <c r="P1058" s="196"/>
      <c r="Q1058" s="196"/>
      <c r="R1058" s="196"/>
      <c r="S1058" s="196"/>
      <c r="T1058" s="196"/>
      <c r="U1058" s="196"/>
      <c r="V1058" s="196"/>
      <c r="W1058" s="196"/>
      <c r="X1058" s="196"/>
      <c r="Y1058" s="196"/>
      <c r="Z1058" s="196"/>
    </row>
    <row r="1059" spans="1:26" ht="17.25">
      <c r="A1059" s="196"/>
      <c r="B1059" s="196"/>
      <c r="C1059" s="196"/>
      <c r="D1059" s="196"/>
      <c r="E1059" s="196"/>
      <c r="F1059" s="196"/>
      <c r="G1059" s="196"/>
      <c r="H1059" s="196"/>
      <c r="I1059" s="196"/>
      <c r="J1059" s="196"/>
      <c r="K1059" s="196"/>
      <c r="L1059" s="196"/>
      <c r="M1059" s="196"/>
      <c r="N1059" s="196"/>
      <c r="O1059" s="196"/>
      <c r="P1059" s="196"/>
      <c r="Q1059" s="196"/>
      <c r="R1059" s="196"/>
      <c r="S1059" s="196"/>
      <c r="T1059" s="196"/>
      <c r="U1059" s="196"/>
      <c r="V1059" s="196"/>
      <c r="W1059" s="196"/>
      <c r="X1059" s="196"/>
      <c r="Y1059" s="196"/>
      <c r="Z1059" s="196"/>
    </row>
    <row r="1060" spans="1:26" ht="17.25">
      <c r="A1060" s="196"/>
      <c r="B1060" s="196"/>
      <c r="C1060" s="196"/>
      <c r="D1060" s="196"/>
      <c r="E1060" s="196"/>
      <c r="F1060" s="196"/>
      <c r="G1060" s="196"/>
      <c r="H1060" s="196"/>
      <c r="I1060" s="196"/>
      <c r="J1060" s="196"/>
      <c r="K1060" s="196"/>
      <c r="L1060" s="196"/>
      <c r="M1060" s="196"/>
      <c r="N1060" s="196"/>
      <c r="O1060" s="196"/>
      <c r="P1060" s="196"/>
      <c r="Q1060" s="196"/>
      <c r="R1060" s="196"/>
      <c r="S1060" s="196"/>
      <c r="T1060" s="196"/>
      <c r="U1060" s="196"/>
      <c r="V1060" s="196"/>
      <c r="W1060" s="196"/>
      <c r="X1060" s="196"/>
      <c r="Y1060" s="196"/>
      <c r="Z1060" s="196"/>
    </row>
    <row r="1061" spans="1:26" ht="17.25">
      <c r="A1061" s="196"/>
      <c r="B1061" s="196"/>
      <c r="C1061" s="196"/>
      <c r="D1061" s="196"/>
      <c r="E1061" s="196"/>
      <c r="F1061" s="196"/>
      <c r="G1061" s="196"/>
      <c r="H1061" s="196"/>
      <c r="I1061" s="196"/>
      <c r="J1061" s="196"/>
      <c r="K1061" s="196"/>
      <c r="L1061" s="196"/>
      <c r="M1061" s="196"/>
      <c r="N1061" s="196"/>
      <c r="O1061" s="196"/>
      <c r="P1061" s="196"/>
      <c r="Q1061" s="196"/>
      <c r="R1061" s="196"/>
      <c r="S1061" s="196"/>
      <c r="T1061" s="196"/>
      <c r="U1061" s="196"/>
      <c r="V1061" s="196"/>
      <c r="W1061" s="196"/>
      <c r="X1061" s="196"/>
      <c r="Y1061" s="196"/>
      <c r="Z1061" s="196"/>
    </row>
    <row r="1062" spans="1:26" ht="17.25">
      <c r="A1062" s="196"/>
      <c r="B1062" s="196"/>
      <c r="C1062" s="196"/>
      <c r="D1062" s="196"/>
      <c r="E1062" s="196"/>
      <c r="F1062" s="196"/>
      <c r="G1062" s="196"/>
      <c r="H1062" s="196"/>
      <c r="I1062" s="196"/>
      <c r="J1062" s="196"/>
      <c r="K1062" s="196"/>
      <c r="L1062" s="196"/>
      <c r="M1062" s="196"/>
      <c r="N1062" s="196"/>
      <c r="O1062" s="196"/>
      <c r="P1062" s="196"/>
      <c r="Q1062" s="196"/>
      <c r="R1062" s="196"/>
      <c r="S1062" s="196"/>
      <c r="T1062" s="196"/>
      <c r="U1062" s="196"/>
      <c r="V1062" s="196"/>
      <c r="W1062" s="196"/>
      <c r="X1062" s="196"/>
      <c r="Y1062" s="196"/>
      <c r="Z1062" s="196"/>
    </row>
    <row r="1063" spans="1:26" ht="17.25">
      <c r="A1063" s="196"/>
      <c r="B1063" s="196"/>
      <c r="C1063" s="196"/>
      <c r="D1063" s="196"/>
      <c r="E1063" s="196"/>
      <c r="F1063" s="196"/>
      <c r="G1063" s="196"/>
      <c r="H1063" s="196"/>
      <c r="I1063" s="196"/>
      <c r="J1063" s="196"/>
      <c r="K1063" s="196"/>
      <c r="L1063" s="196"/>
      <c r="M1063" s="196"/>
      <c r="N1063" s="196"/>
      <c r="O1063" s="196"/>
      <c r="P1063" s="196"/>
      <c r="Q1063" s="196"/>
      <c r="R1063" s="196"/>
      <c r="S1063" s="196"/>
      <c r="T1063" s="196"/>
      <c r="U1063" s="196"/>
      <c r="V1063" s="196"/>
      <c r="W1063" s="196"/>
      <c r="X1063" s="196"/>
      <c r="Y1063" s="196"/>
      <c r="Z1063" s="196"/>
    </row>
    <row r="1064" spans="1:26" ht="17.25">
      <c r="A1064" s="196"/>
      <c r="B1064" s="196"/>
      <c r="C1064" s="196"/>
      <c r="D1064" s="196"/>
      <c r="E1064" s="196"/>
      <c r="F1064" s="196"/>
      <c r="G1064" s="196"/>
      <c r="H1064" s="196"/>
      <c r="I1064" s="196"/>
      <c r="J1064" s="196"/>
      <c r="K1064" s="196"/>
      <c r="L1064" s="196"/>
      <c r="M1064" s="196"/>
      <c r="N1064" s="196"/>
      <c r="O1064" s="196"/>
      <c r="P1064" s="196"/>
      <c r="Q1064" s="196"/>
      <c r="R1064" s="196"/>
      <c r="S1064" s="196"/>
      <c r="T1064" s="196"/>
      <c r="U1064" s="196"/>
      <c r="V1064" s="196"/>
      <c r="W1064" s="196"/>
      <c r="X1064" s="196"/>
      <c r="Y1064" s="196"/>
      <c r="Z1064" s="196"/>
    </row>
    <row r="1065" spans="1:26" ht="17.25">
      <c r="A1065" s="196"/>
      <c r="B1065" s="196"/>
      <c r="C1065" s="196"/>
      <c r="D1065" s="196"/>
      <c r="E1065" s="196"/>
      <c r="F1065" s="196"/>
      <c r="G1065" s="196"/>
      <c r="H1065" s="196"/>
      <c r="I1065" s="196"/>
      <c r="J1065" s="196"/>
      <c r="K1065" s="196"/>
      <c r="L1065" s="196"/>
      <c r="M1065" s="196"/>
      <c r="N1065" s="196"/>
      <c r="O1065" s="196"/>
      <c r="P1065" s="196"/>
      <c r="Q1065" s="196"/>
      <c r="R1065" s="196"/>
      <c r="S1065" s="196"/>
      <c r="T1065" s="196"/>
      <c r="U1065" s="196"/>
      <c r="V1065" s="196"/>
      <c r="W1065" s="196"/>
      <c r="X1065" s="196"/>
      <c r="Y1065" s="196"/>
      <c r="Z1065" s="196"/>
    </row>
    <row r="1066" spans="1:26" ht="17.25">
      <c r="A1066" s="196"/>
      <c r="B1066" s="196"/>
      <c r="C1066" s="196"/>
      <c r="D1066" s="196"/>
      <c r="E1066" s="196"/>
      <c r="F1066" s="196"/>
      <c r="G1066" s="196"/>
      <c r="H1066" s="196"/>
      <c r="I1066" s="196"/>
      <c r="J1066" s="196"/>
      <c r="K1066" s="196"/>
      <c r="L1066" s="196"/>
      <c r="M1066" s="196"/>
      <c r="N1066" s="196"/>
      <c r="O1066" s="196"/>
      <c r="P1066" s="196"/>
      <c r="Q1066" s="196"/>
      <c r="R1066" s="196"/>
      <c r="S1066" s="196"/>
      <c r="T1066" s="196"/>
      <c r="U1066" s="196"/>
      <c r="V1066" s="196"/>
      <c r="W1066" s="196"/>
      <c r="X1066" s="196"/>
      <c r="Y1066" s="196"/>
      <c r="Z1066" s="196"/>
    </row>
    <row r="1067" spans="1:26" ht="17.25">
      <c r="A1067" s="196"/>
      <c r="B1067" s="196"/>
      <c r="C1067" s="196"/>
      <c r="D1067" s="196"/>
      <c r="E1067" s="196"/>
      <c r="F1067" s="196"/>
      <c r="G1067" s="196"/>
      <c r="H1067" s="196"/>
      <c r="I1067" s="196"/>
      <c r="J1067" s="196"/>
      <c r="K1067" s="196"/>
      <c r="L1067" s="196"/>
      <c r="M1067" s="196"/>
      <c r="N1067" s="196"/>
      <c r="O1067" s="196"/>
      <c r="P1067" s="196"/>
      <c r="Q1067" s="196"/>
      <c r="R1067" s="196"/>
      <c r="S1067" s="196"/>
      <c r="T1067" s="196"/>
      <c r="U1067" s="196"/>
      <c r="V1067" s="196"/>
      <c r="W1067" s="196"/>
      <c r="X1067" s="196"/>
      <c r="Y1067" s="196"/>
      <c r="Z1067" s="196"/>
    </row>
    <row r="1068" spans="1:26" ht="17.25">
      <c r="A1068" s="196"/>
      <c r="B1068" s="196"/>
      <c r="C1068" s="196"/>
      <c r="D1068" s="196"/>
      <c r="E1068" s="196"/>
      <c r="F1068" s="196"/>
      <c r="G1068" s="196"/>
      <c r="H1068" s="196"/>
      <c r="I1068" s="196"/>
      <c r="J1068" s="196"/>
      <c r="K1068" s="196"/>
      <c r="L1068" s="196"/>
      <c r="M1068" s="196"/>
      <c r="N1068" s="196"/>
      <c r="O1068" s="196"/>
      <c r="P1068" s="196"/>
      <c r="Q1068" s="196"/>
      <c r="R1068" s="196"/>
      <c r="S1068" s="196"/>
      <c r="T1068" s="196"/>
      <c r="U1068" s="196"/>
      <c r="V1068" s="196"/>
      <c r="W1068" s="196"/>
      <c r="X1068" s="196"/>
      <c r="Y1068" s="196"/>
      <c r="Z1068" s="196"/>
    </row>
    <row r="1069" spans="1:26" ht="17.25">
      <c r="A1069" s="196"/>
      <c r="B1069" s="196"/>
      <c r="C1069" s="196"/>
      <c r="D1069" s="196"/>
      <c r="E1069" s="196"/>
      <c r="F1069" s="196"/>
      <c r="G1069" s="196"/>
      <c r="H1069" s="196"/>
      <c r="I1069" s="196"/>
      <c r="J1069" s="196"/>
      <c r="K1069" s="196"/>
      <c r="L1069" s="196"/>
      <c r="M1069" s="196"/>
      <c r="N1069" s="196"/>
      <c r="O1069" s="196"/>
      <c r="P1069" s="196"/>
      <c r="Q1069" s="196"/>
      <c r="R1069" s="196"/>
      <c r="S1069" s="196"/>
      <c r="T1069" s="196"/>
      <c r="U1069" s="196"/>
      <c r="V1069" s="196"/>
      <c r="W1069" s="196"/>
      <c r="X1069" s="196"/>
      <c r="Y1069" s="196"/>
      <c r="Z1069" s="196"/>
    </row>
    <row r="1070" spans="1:26" ht="17.25">
      <c r="A1070" s="196"/>
      <c r="B1070" s="196"/>
      <c r="C1070" s="196"/>
      <c r="D1070" s="196"/>
      <c r="E1070" s="196"/>
      <c r="F1070" s="196"/>
      <c r="G1070" s="196"/>
      <c r="H1070" s="196"/>
      <c r="I1070" s="196"/>
      <c r="J1070" s="196"/>
      <c r="K1070" s="196"/>
      <c r="L1070" s="196"/>
      <c r="M1070" s="196"/>
      <c r="N1070" s="196"/>
      <c r="O1070" s="196"/>
      <c r="P1070" s="196"/>
      <c r="Q1070" s="196"/>
      <c r="R1070" s="196"/>
      <c r="S1070" s="196"/>
      <c r="T1070" s="196"/>
      <c r="U1070" s="196"/>
      <c r="V1070" s="196"/>
      <c r="W1070" s="196"/>
      <c r="X1070" s="196"/>
      <c r="Y1070" s="196"/>
      <c r="Z1070" s="196"/>
    </row>
    <row r="1071" spans="1:26" ht="17.25">
      <c r="A1071" s="196"/>
      <c r="B1071" s="196"/>
      <c r="C1071" s="196"/>
      <c r="D1071" s="196"/>
      <c r="E1071" s="196"/>
      <c r="F1071" s="196"/>
      <c r="G1071" s="196"/>
      <c r="H1071" s="196"/>
      <c r="I1071" s="196"/>
      <c r="J1071" s="196"/>
      <c r="K1071" s="196"/>
      <c r="L1071" s="196"/>
      <c r="M1071" s="196"/>
      <c r="N1071" s="196"/>
      <c r="O1071" s="196"/>
      <c r="P1071" s="196"/>
      <c r="Q1071" s="196"/>
      <c r="R1071" s="196"/>
      <c r="S1071" s="196"/>
      <c r="T1071" s="196"/>
      <c r="U1071" s="196"/>
      <c r="V1071" s="196"/>
      <c r="W1071" s="196"/>
      <c r="X1071" s="196"/>
      <c r="Y1071" s="196"/>
      <c r="Z1071" s="196"/>
    </row>
    <row r="1072" spans="1:26" ht="17.25">
      <c r="A1072" s="196"/>
      <c r="B1072" s="196"/>
      <c r="C1072" s="196"/>
      <c r="D1072" s="196"/>
      <c r="E1072" s="196"/>
      <c r="F1072" s="196"/>
      <c r="G1072" s="196"/>
      <c r="H1072" s="196"/>
      <c r="I1072" s="196"/>
      <c r="J1072" s="196"/>
      <c r="K1072" s="196"/>
      <c r="L1072" s="196"/>
      <c r="M1072" s="196"/>
      <c r="N1072" s="196"/>
      <c r="O1072" s="196"/>
      <c r="P1072" s="196"/>
      <c r="Q1072" s="196"/>
      <c r="R1072" s="196"/>
      <c r="S1072" s="196"/>
      <c r="T1072" s="196"/>
      <c r="U1072" s="196"/>
      <c r="V1072" s="196"/>
      <c r="W1072" s="196"/>
      <c r="X1072" s="196"/>
      <c r="Y1072" s="196"/>
      <c r="Z1072" s="196"/>
    </row>
    <row r="1073" spans="1:26" ht="17.25">
      <c r="A1073" s="196"/>
      <c r="B1073" s="196"/>
      <c r="C1073" s="196"/>
      <c r="D1073" s="196"/>
      <c r="E1073" s="196"/>
      <c r="F1073" s="196"/>
      <c r="G1073" s="196"/>
      <c r="H1073" s="196"/>
      <c r="I1073" s="196"/>
      <c r="J1073" s="196"/>
      <c r="K1073" s="196"/>
      <c r="L1073" s="196"/>
      <c r="M1073" s="196"/>
      <c r="N1073" s="196"/>
      <c r="O1073" s="196"/>
      <c r="P1073" s="196"/>
      <c r="Q1073" s="196"/>
      <c r="R1073" s="196"/>
      <c r="S1073" s="196"/>
      <c r="T1073" s="196"/>
      <c r="U1073" s="196"/>
      <c r="V1073" s="196"/>
      <c r="W1073" s="196"/>
      <c r="X1073" s="196"/>
      <c r="Y1073" s="196"/>
      <c r="Z1073" s="196"/>
    </row>
  </sheetData>
  <mergeCells count="1">
    <mergeCell ref="A81:Z81"/>
  </mergeCells>
  <phoneticPr fontId="2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69"/>
  <sheetViews>
    <sheetView topLeftCell="A12" workbookViewId="0">
      <selection activeCell="C15" sqref="C15"/>
    </sheetView>
  </sheetViews>
  <sheetFormatPr defaultColWidth="12.5703125" defaultRowHeight="15.75" customHeight="1"/>
  <cols>
    <col min="1" max="1" width="13.140625" customWidth="1"/>
    <col min="2" max="2" width="31.28515625" customWidth="1"/>
    <col min="3" max="3" width="32.140625" customWidth="1"/>
    <col min="4" max="4" width="31.42578125" customWidth="1"/>
    <col min="5" max="5" width="34.85546875" customWidth="1"/>
    <col min="6" max="6" width="33.5703125" customWidth="1"/>
    <col min="7" max="7" width="35.42578125" customWidth="1"/>
    <col min="8" max="8" width="37.140625" customWidth="1"/>
  </cols>
  <sheetData>
    <row r="1" spans="1:8" ht="12.75">
      <c r="A1" s="280" t="s">
        <v>1616</v>
      </c>
      <c r="B1" s="278"/>
      <c r="C1" s="278"/>
      <c r="D1" s="278"/>
      <c r="E1" s="278"/>
      <c r="F1" s="278"/>
      <c r="G1" s="278"/>
      <c r="H1" s="279"/>
    </row>
    <row r="2" spans="1:8" ht="15">
      <c r="A2" s="1" t="s">
        <v>1111</v>
      </c>
      <c r="B2" s="2" t="s">
        <v>1114</v>
      </c>
      <c r="C2" s="2" t="s">
        <v>1115</v>
      </c>
      <c r="D2" s="2" t="s">
        <v>1116</v>
      </c>
      <c r="E2" s="2" t="s">
        <v>1117</v>
      </c>
      <c r="F2" s="2" t="s">
        <v>1118</v>
      </c>
      <c r="G2" s="2" t="s">
        <v>1119</v>
      </c>
      <c r="H2" s="2" t="s">
        <v>1120</v>
      </c>
    </row>
    <row r="3" spans="1:8" ht="75">
      <c r="A3" s="3" t="s">
        <v>9</v>
      </c>
      <c r="B3" s="4" t="s">
        <v>1396</v>
      </c>
      <c r="C3" s="5"/>
      <c r="D3" s="6"/>
      <c r="E3" s="5"/>
      <c r="F3" s="5"/>
      <c r="G3" s="5"/>
      <c r="H3" s="5"/>
    </row>
    <row r="4" spans="1:8" ht="15">
      <c r="A4" s="7"/>
      <c r="B4" s="7"/>
      <c r="C4" s="7"/>
      <c r="D4" s="7"/>
      <c r="E4" s="7"/>
      <c r="F4" s="7"/>
      <c r="G4" s="7"/>
      <c r="H4" s="7"/>
    </row>
    <row r="5" spans="1:8" ht="12.75">
      <c r="A5" s="280" t="s">
        <v>1855</v>
      </c>
      <c r="B5" s="278"/>
      <c r="C5" s="278"/>
      <c r="D5" s="278"/>
      <c r="E5" s="278"/>
      <c r="F5" s="278"/>
      <c r="G5" s="278"/>
      <c r="H5" s="279"/>
    </row>
    <row r="6" spans="1:8" ht="15">
      <c r="A6" s="3" t="s">
        <v>1111</v>
      </c>
      <c r="B6" s="8" t="s">
        <v>1114</v>
      </c>
      <c r="C6" s="8" t="s">
        <v>1115</v>
      </c>
      <c r="D6" s="8" t="s">
        <v>1116</v>
      </c>
      <c r="E6" s="8" t="s">
        <v>1117</v>
      </c>
      <c r="F6" s="8" t="s">
        <v>1118</v>
      </c>
      <c r="G6" s="8" t="s">
        <v>1119</v>
      </c>
      <c r="H6" s="8" t="s">
        <v>1120</v>
      </c>
    </row>
    <row r="7" spans="1:8" ht="195">
      <c r="A7" s="3" t="s">
        <v>1778</v>
      </c>
      <c r="B7" s="9" t="s">
        <v>1397</v>
      </c>
      <c r="C7" s="10" t="s">
        <v>1596</v>
      </c>
      <c r="D7" s="11"/>
      <c r="E7" s="10" t="s">
        <v>10</v>
      </c>
      <c r="F7" s="10" t="s">
        <v>1398</v>
      </c>
      <c r="G7" s="10" t="s">
        <v>11</v>
      </c>
      <c r="H7" s="272" t="s">
        <v>2561</v>
      </c>
    </row>
    <row r="8" spans="1:8" ht="195">
      <c r="A8" s="3" t="s">
        <v>1745</v>
      </c>
      <c r="B8" s="12" t="s">
        <v>1388</v>
      </c>
      <c r="C8" s="13" t="s">
        <v>12</v>
      </c>
      <c r="D8" s="14"/>
      <c r="E8" s="15" t="s">
        <v>1590</v>
      </c>
      <c r="F8" s="16" t="s">
        <v>13</v>
      </c>
      <c r="G8" s="16" t="s">
        <v>1587</v>
      </c>
      <c r="H8" s="270" t="s">
        <v>2560</v>
      </c>
    </row>
    <row r="9" spans="1:8" ht="270">
      <c r="A9" s="17" t="s">
        <v>1728</v>
      </c>
      <c r="B9" s="18" t="s">
        <v>14</v>
      </c>
      <c r="C9" s="13" t="s">
        <v>15</v>
      </c>
      <c r="D9" s="13" t="s">
        <v>16</v>
      </c>
      <c r="E9" s="16" t="s">
        <v>1260</v>
      </c>
      <c r="F9" s="13" t="s">
        <v>17</v>
      </c>
      <c r="G9" s="19"/>
      <c r="H9" s="273" t="s">
        <v>2559</v>
      </c>
    </row>
    <row r="10" spans="1:8" ht="240">
      <c r="A10" s="183" t="s">
        <v>2550</v>
      </c>
      <c r="B10" s="21"/>
      <c r="C10" s="22"/>
      <c r="D10" s="10" t="s">
        <v>1399</v>
      </c>
      <c r="E10" s="10" t="s">
        <v>1584</v>
      </c>
      <c r="F10" s="10" t="s">
        <v>1597</v>
      </c>
      <c r="G10" s="23"/>
      <c r="H10" s="272" t="s">
        <v>2558</v>
      </c>
    </row>
    <row r="11" spans="1:8" ht="210">
      <c r="A11" s="183" t="s">
        <v>2551</v>
      </c>
      <c r="B11" s="9" t="s">
        <v>1389</v>
      </c>
      <c r="C11" s="10" t="s">
        <v>2563</v>
      </c>
      <c r="D11" s="13" t="s">
        <v>1598</v>
      </c>
      <c r="E11" s="11"/>
      <c r="F11" s="24" t="s">
        <v>1400</v>
      </c>
      <c r="G11" s="10" t="s">
        <v>18</v>
      </c>
      <c r="H11" s="271" t="s">
        <v>2557</v>
      </c>
    </row>
    <row r="12" spans="1:8" ht="135">
      <c r="A12" s="17" t="s">
        <v>1774</v>
      </c>
      <c r="B12" s="18"/>
      <c r="C12" s="16" t="s">
        <v>19</v>
      </c>
      <c r="D12" s="13" t="s">
        <v>1401</v>
      </c>
      <c r="E12" s="16" t="s">
        <v>20</v>
      </c>
      <c r="F12" s="16" t="s">
        <v>21</v>
      </c>
      <c r="G12" s="16" t="s">
        <v>1402</v>
      </c>
      <c r="H12" s="270" t="s">
        <v>2556</v>
      </c>
    </row>
    <row r="13" spans="1:8" ht="178.5">
      <c r="A13" s="3" t="s">
        <v>1767</v>
      </c>
      <c r="B13" s="25" t="s">
        <v>22</v>
      </c>
      <c r="C13" s="13" t="s">
        <v>23</v>
      </c>
      <c r="D13" s="19"/>
      <c r="E13" s="13" t="s">
        <v>1431</v>
      </c>
      <c r="F13" s="13" t="s">
        <v>1599</v>
      </c>
      <c r="G13" s="269" t="s">
        <v>2555</v>
      </c>
      <c r="H13" s="19"/>
    </row>
    <row r="14" spans="1:8" ht="135">
      <c r="A14" s="3" t="s">
        <v>1786</v>
      </c>
      <c r="B14" s="13" t="s">
        <v>24</v>
      </c>
      <c r="C14" s="13" t="s">
        <v>25</v>
      </c>
      <c r="D14" s="13" t="s">
        <v>1585</v>
      </c>
      <c r="E14" s="13" t="s">
        <v>1600</v>
      </c>
      <c r="F14" s="268" t="s">
        <v>2554</v>
      </c>
      <c r="G14" s="26"/>
      <c r="H14" s="13" t="s">
        <v>2553</v>
      </c>
    </row>
    <row r="15" spans="1:8" ht="165">
      <c r="A15" s="17" t="s">
        <v>1733</v>
      </c>
      <c r="B15" s="16" t="s">
        <v>1601</v>
      </c>
      <c r="C15" s="16" t="s">
        <v>2562</v>
      </c>
      <c r="D15" s="16" t="s">
        <v>26</v>
      </c>
      <c r="E15" s="13" t="s">
        <v>1432</v>
      </c>
      <c r="F15" s="26"/>
      <c r="G15" s="23" t="s">
        <v>1403</v>
      </c>
      <c r="H15" s="267" t="s">
        <v>2552</v>
      </c>
    </row>
    <row r="16" spans="1:8" ht="12.75">
      <c r="C16" s="274"/>
    </row>
    <row r="17" spans="1:8" ht="12.75">
      <c r="A17" s="277" t="s">
        <v>1617</v>
      </c>
      <c r="B17" s="278"/>
      <c r="C17" s="278"/>
      <c r="D17" s="278"/>
      <c r="E17" s="278"/>
      <c r="F17" s="278"/>
      <c r="G17" s="278"/>
      <c r="H17" s="279"/>
    </row>
    <row r="18" spans="1:8" ht="15">
      <c r="A18" s="3" t="s">
        <v>1111</v>
      </c>
      <c r="B18" s="8" t="s">
        <v>1114</v>
      </c>
      <c r="C18" s="8" t="s">
        <v>1115</v>
      </c>
      <c r="D18" s="8" t="s">
        <v>1116</v>
      </c>
      <c r="E18" s="8" t="s">
        <v>1117</v>
      </c>
      <c r="F18" s="8" t="s">
        <v>1118</v>
      </c>
      <c r="G18" s="8" t="s">
        <v>1119</v>
      </c>
      <c r="H18" s="8" t="s">
        <v>1120</v>
      </c>
    </row>
    <row r="19" spans="1:8" ht="240">
      <c r="A19" s="17" t="s">
        <v>27</v>
      </c>
      <c r="B19" s="18" t="s">
        <v>1433</v>
      </c>
      <c r="C19" s="23" t="s">
        <v>28</v>
      </c>
      <c r="D19" s="26"/>
      <c r="E19" s="23" t="s">
        <v>29</v>
      </c>
      <c r="F19" s="23"/>
      <c r="G19" s="26"/>
      <c r="H19" s="26"/>
    </row>
    <row r="20" spans="1:8" ht="90">
      <c r="A20" s="17" t="s">
        <v>30</v>
      </c>
      <c r="B20" s="20" t="s">
        <v>1404</v>
      </c>
      <c r="C20" s="26"/>
      <c r="D20" s="26"/>
      <c r="E20" s="26"/>
      <c r="F20" s="23" t="s">
        <v>1434</v>
      </c>
      <c r="G20" s="26"/>
      <c r="H20" s="26"/>
    </row>
    <row r="21" spans="1:8" ht="60">
      <c r="A21" s="17" t="s">
        <v>31</v>
      </c>
      <c r="B21" s="10" t="s">
        <v>32</v>
      </c>
      <c r="C21" s="10" t="s">
        <v>1602</v>
      </c>
      <c r="D21" s="26"/>
      <c r="E21" s="26"/>
      <c r="F21" s="26"/>
      <c r="G21" s="26"/>
      <c r="H21" s="26"/>
    </row>
    <row r="22" spans="1:8" ht="105">
      <c r="A22" s="17" t="s">
        <v>33</v>
      </c>
      <c r="B22" s="13" t="s">
        <v>34</v>
      </c>
      <c r="C22" s="10"/>
      <c r="D22" s="26"/>
      <c r="E22" s="26"/>
      <c r="F22" s="10" t="s">
        <v>35</v>
      </c>
      <c r="G22" s="26"/>
      <c r="H22" s="26"/>
    </row>
    <row r="23" spans="1:8" ht="195">
      <c r="A23" s="17" t="s">
        <v>36</v>
      </c>
      <c r="B23" s="18" t="s">
        <v>1112</v>
      </c>
      <c r="C23" s="26"/>
      <c r="D23" s="26"/>
      <c r="E23" s="26"/>
      <c r="F23" s="28"/>
      <c r="G23" s="26"/>
      <c r="H23" s="26"/>
    </row>
    <row r="24" spans="1:8" ht="75">
      <c r="A24" s="17" t="s">
        <v>37</v>
      </c>
      <c r="B24" s="18" t="s">
        <v>38</v>
      </c>
      <c r="C24" s="20" t="s">
        <v>39</v>
      </c>
      <c r="D24" s="26"/>
      <c r="E24" s="26"/>
      <c r="F24" s="26"/>
      <c r="G24" s="26"/>
      <c r="H24" s="26"/>
    </row>
    <row r="25" spans="1:8" ht="165">
      <c r="A25" s="17" t="s">
        <v>40</v>
      </c>
      <c r="B25" s="26"/>
      <c r="C25" s="13" t="s">
        <v>41</v>
      </c>
      <c r="D25" s="26"/>
      <c r="E25" s="26"/>
      <c r="F25" s="13" t="s">
        <v>1591</v>
      </c>
      <c r="G25" s="26"/>
      <c r="H25" s="26"/>
    </row>
    <row r="26" spans="1:8" ht="409.5">
      <c r="A26" s="17" t="s">
        <v>1288</v>
      </c>
      <c r="B26" s="18" t="s">
        <v>1435</v>
      </c>
      <c r="C26" s="13" t="s">
        <v>1682</v>
      </c>
      <c r="D26" s="13" t="s">
        <v>1289</v>
      </c>
      <c r="E26" s="13" t="s">
        <v>1592</v>
      </c>
      <c r="F26" s="13" t="s">
        <v>1405</v>
      </c>
      <c r="G26" s="13" t="s">
        <v>1406</v>
      </c>
      <c r="H26" s="29" t="s">
        <v>1270</v>
      </c>
    </row>
    <row r="27" spans="1:8" ht="240">
      <c r="A27" s="17" t="s">
        <v>42</v>
      </c>
      <c r="B27" s="26"/>
      <c r="C27" s="26"/>
      <c r="D27" s="13" t="s">
        <v>1353</v>
      </c>
      <c r="E27" s="10" t="s">
        <v>43</v>
      </c>
      <c r="F27" s="13" t="s">
        <v>1354</v>
      </c>
      <c r="G27" s="26"/>
      <c r="H27" s="26"/>
    </row>
    <row r="28" spans="1:8" ht="150">
      <c r="A28" s="17" t="s">
        <v>44</v>
      </c>
      <c r="B28" s="10" t="s">
        <v>45</v>
      </c>
      <c r="C28" s="13" t="s">
        <v>1407</v>
      </c>
      <c r="D28" s="26"/>
      <c r="E28" s="26"/>
      <c r="F28" s="13" t="s">
        <v>1408</v>
      </c>
      <c r="G28" s="13" t="s">
        <v>1593</v>
      </c>
      <c r="H28" s="26"/>
    </row>
    <row r="29" spans="1:8" ht="15">
      <c r="A29" s="27"/>
      <c r="B29" s="27"/>
      <c r="C29" s="27"/>
      <c r="D29" s="27"/>
      <c r="E29" s="27"/>
      <c r="F29" s="27"/>
      <c r="G29" s="27"/>
      <c r="H29" s="27"/>
    </row>
    <row r="30" spans="1:8" ht="15">
      <c r="A30" s="283" t="s">
        <v>1618</v>
      </c>
      <c r="B30" s="284"/>
      <c r="C30" s="284"/>
      <c r="D30" s="284"/>
      <c r="E30" s="284"/>
      <c r="F30" s="284"/>
      <c r="G30" s="284"/>
      <c r="H30" s="284"/>
    </row>
    <row r="31" spans="1:8" ht="15">
      <c r="A31" s="1" t="s">
        <v>1111</v>
      </c>
      <c r="B31" s="2" t="s">
        <v>1114</v>
      </c>
      <c r="C31" s="2" t="s">
        <v>1115</v>
      </c>
      <c r="D31" s="2" t="s">
        <v>1116</v>
      </c>
      <c r="E31" s="2" t="s">
        <v>1117</v>
      </c>
      <c r="F31" s="2" t="s">
        <v>1118</v>
      </c>
      <c r="G31" s="2" t="s">
        <v>1119</v>
      </c>
      <c r="H31" s="2" t="s">
        <v>1120</v>
      </c>
    </row>
    <row r="32" spans="1:8" ht="409.5">
      <c r="A32" s="183" t="s">
        <v>1086</v>
      </c>
      <c r="B32" s="30"/>
      <c r="C32" s="23" t="s">
        <v>1390</v>
      </c>
      <c r="D32" s="26"/>
      <c r="E32" s="20" t="s">
        <v>1603</v>
      </c>
      <c r="F32" s="9" t="s">
        <v>1131</v>
      </c>
      <c r="G32" s="26"/>
      <c r="H32" s="23"/>
    </row>
    <row r="33" spans="1:8" ht="210">
      <c r="A33" s="183" t="s">
        <v>1128</v>
      </c>
      <c r="B33" s="12" t="s">
        <v>1159</v>
      </c>
      <c r="C33" s="26"/>
      <c r="D33" s="23"/>
      <c r="E33" s="16" t="s">
        <v>1409</v>
      </c>
      <c r="F33" s="26"/>
      <c r="G33" s="26"/>
      <c r="H33" s="16" t="s">
        <v>1410</v>
      </c>
    </row>
    <row r="34" spans="1:8" ht="255">
      <c r="A34" s="183" t="s">
        <v>1130</v>
      </c>
      <c r="B34" s="30"/>
      <c r="C34" s="20" t="s">
        <v>1177</v>
      </c>
      <c r="D34" s="31"/>
      <c r="E34" s="9" t="s">
        <v>1436</v>
      </c>
      <c r="F34" s="26"/>
      <c r="G34" s="20" t="s">
        <v>1178</v>
      </c>
      <c r="H34" s="26"/>
    </row>
    <row r="35" spans="1:8" ht="285">
      <c r="A35" s="3" t="s">
        <v>1151</v>
      </c>
      <c r="B35" s="12" t="s">
        <v>1152</v>
      </c>
      <c r="C35" s="26"/>
      <c r="D35" s="26"/>
      <c r="E35" s="16" t="s">
        <v>1411</v>
      </c>
      <c r="F35" s="16" t="s">
        <v>1153</v>
      </c>
      <c r="G35" s="26"/>
      <c r="H35" s="26"/>
    </row>
    <row r="36" spans="1:8" ht="150">
      <c r="A36" s="3" t="s">
        <v>1194</v>
      </c>
      <c r="B36" s="16" t="s">
        <v>1195</v>
      </c>
      <c r="C36" s="26"/>
      <c r="D36" s="26"/>
      <c r="E36" s="9" t="s">
        <v>1412</v>
      </c>
      <c r="F36" s="26"/>
      <c r="G36" s="26"/>
      <c r="H36" s="16" t="s">
        <v>1196</v>
      </c>
    </row>
    <row r="37" spans="1:8" ht="315">
      <c r="A37" s="3" t="s">
        <v>1211</v>
      </c>
      <c r="B37" s="30"/>
      <c r="C37" s="20" t="s">
        <v>1212</v>
      </c>
      <c r="D37" s="26"/>
      <c r="E37" s="16" t="s">
        <v>1604</v>
      </c>
      <c r="F37" s="26"/>
      <c r="G37" s="26"/>
      <c r="H37" s="16" t="s">
        <v>1213</v>
      </c>
    </row>
    <row r="38" spans="1:8" ht="409.5">
      <c r="A38" s="3" t="s">
        <v>1227</v>
      </c>
      <c r="B38" s="30"/>
      <c r="C38" s="10"/>
      <c r="D38" s="18" t="s">
        <v>1228</v>
      </c>
      <c r="E38" s="13" t="s">
        <v>1588</v>
      </c>
      <c r="F38" s="26"/>
      <c r="G38" s="20" t="s">
        <v>1413</v>
      </c>
      <c r="H38" s="10" t="s">
        <v>46</v>
      </c>
    </row>
    <row r="39" spans="1:8" ht="225">
      <c r="A39" s="3" t="s">
        <v>1242</v>
      </c>
      <c r="B39" s="30"/>
      <c r="C39" s="16" t="s">
        <v>1243</v>
      </c>
      <c r="D39" s="26"/>
      <c r="E39" s="16" t="s">
        <v>1414</v>
      </c>
      <c r="F39" s="26"/>
      <c r="G39" s="26"/>
      <c r="H39" s="9" t="s">
        <v>1391</v>
      </c>
    </row>
    <row r="40" spans="1:8" ht="240">
      <c r="A40" s="3" t="s">
        <v>1261</v>
      </c>
      <c r="B40" s="30"/>
      <c r="C40" s="26"/>
      <c r="D40" s="13" t="s">
        <v>47</v>
      </c>
      <c r="E40" s="13" t="s">
        <v>1415</v>
      </c>
      <c r="F40" s="26"/>
      <c r="G40" s="26"/>
      <c r="H40" s="20" t="s">
        <v>1262</v>
      </c>
    </row>
    <row r="41" spans="1:8" ht="285">
      <c r="A41" s="3" t="s">
        <v>1271</v>
      </c>
      <c r="B41" s="9"/>
      <c r="C41" s="18" t="s">
        <v>1272</v>
      </c>
      <c r="D41" s="26"/>
      <c r="E41" s="16" t="s">
        <v>1416</v>
      </c>
      <c r="F41" s="26"/>
      <c r="G41" s="16" t="s">
        <v>1273</v>
      </c>
      <c r="H41" s="26"/>
    </row>
    <row r="42" spans="1:8" ht="300">
      <c r="A42" s="3" t="s">
        <v>1290</v>
      </c>
      <c r="B42" s="30"/>
      <c r="C42" s="26"/>
      <c r="D42" s="16" t="s">
        <v>1437</v>
      </c>
      <c r="E42" s="13" t="s">
        <v>1417</v>
      </c>
      <c r="F42" s="26"/>
      <c r="G42" s="26"/>
      <c r="H42" s="20" t="s">
        <v>1418</v>
      </c>
    </row>
    <row r="43" spans="1:8" ht="240">
      <c r="A43" s="3" t="s">
        <v>1355</v>
      </c>
      <c r="B43" s="30"/>
      <c r="C43" s="26"/>
      <c r="D43" s="16" t="s">
        <v>1594</v>
      </c>
      <c r="E43" s="16" t="s">
        <v>1419</v>
      </c>
      <c r="F43" s="13" t="s">
        <v>1420</v>
      </c>
      <c r="G43" s="26"/>
      <c r="H43" s="26"/>
    </row>
    <row r="44" spans="1:8" ht="15">
      <c r="A44" s="27"/>
      <c r="B44" s="27"/>
      <c r="C44" s="27"/>
      <c r="D44" s="27"/>
      <c r="E44" s="27"/>
      <c r="F44" s="27"/>
      <c r="G44" s="27"/>
      <c r="H44" s="27"/>
    </row>
    <row r="45" spans="1:8" ht="12.75">
      <c r="A45" s="280" t="s">
        <v>1619</v>
      </c>
      <c r="B45" s="278"/>
      <c r="C45" s="278"/>
      <c r="D45" s="278"/>
      <c r="E45" s="278"/>
      <c r="F45" s="278"/>
      <c r="G45" s="278"/>
      <c r="H45" s="279"/>
    </row>
    <row r="46" spans="1:8" ht="15">
      <c r="A46" s="1" t="s">
        <v>1111</v>
      </c>
      <c r="B46" s="2" t="s">
        <v>1114</v>
      </c>
      <c r="C46" s="2" t="s">
        <v>1115</v>
      </c>
      <c r="D46" s="2" t="s">
        <v>1116</v>
      </c>
      <c r="E46" s="2" t="s">
        <v>1117</v>
      </c>
      <c r="F46" s="2" t="s">
        <v>1118</v>
      </c>
      <c r="G46" s="2" t="s">
        <v>1119</v>
      </c>
      <c r="H46" s="2" t="s">
        <v>1120</v>
      </c>
    </row>
    <row r="47" spans="1:8" ht="255">
      <c r="A47" s="3" t="s">
        <v>48</v>
      </c>
      <c r="B47" s="30"/>
      <c r="C47" s="23" t="s">
        <v>1438</v>
      </c>
      <c r="D47" s="23" t="s">
        <v>1605</v>
      </c>
      <c r="E47" s="26"/>
      <c r="F47" s="26"/>
      <c r="G47" s="23" t="s">
        <v>1439</v>
      </c>
      <c r="H47" s="26"/>
    </row>
    <row r="48" spans="1:8" ht="240">
      <c r="A48" s="3" t="s">
        <v>49</v>
      </c>
      <c r="B48" s="30"/>
      <c r="C48" s="13" t="s">
        <v>1440</v>
      </c>
      <c r="D48" s="10" t="s">
        <v>1605</v>
      </c>
      <c r="E48" s="26"/>
      <c r="F48" s="32"/>
      <c r="G48" s="13" t="s">
        <v>1441</v>
      </c>
      <c r="H48" s="26"/>
    </row>
    <row r="49" spans="1:8" ht="186">
      <c r="A49" s="3" t="s">
        <v>50</v>
      </c>
      <c r="B49" s="30"/>
      <c r="C49" s="26"/>
      <c r="D49" s="13" t="s">
        <v>1442</v>
      </c>
      <c r="E49" s="26"/>
      <c r="F49" s="13" t="s">
        <v>51</v>
      </c>
      <c r="G49" s="13" t="s">
        <v>52</v>
      </c>
      <c r="H49" s="26"/>
    </row>
    <row r="50" spans="1:8" ht="15">
      <c r="A50" s="27"/>
      <c r="B50" s="27"/>
      <c r="C50" s="27"/>
      <c r="D50" s="27"/>
      <c r="E50" s="27"/>
      <c r="F50" s="27"/>
      <c r="G50" s="27"/>
      <c r="H50" s="27"/>
    </row>
    <row r="51" spans="1:8" ht="12.75">
      <c r="A51" s="277" t="s">
        <v>1620</v>
      </c>
      <c r="B51" s="278"/>
      <c r="C51" s="278"/>
      <c r="D51" s="278"/>
      <c r="E51" s="278"/>
      <c r="F51" s="278"/>
      <c r="G51" s="278"/>
      <c r="H51" s="279"/>
    </row>
    <row r="52" spans="1:8" ht="15">
      <c r="A52" s="1" t="s">
        <v>1111</v>
      </c>
      <c r="B52" s="2" t="s">
        <v>1114</v>
      </c>
      <c r="C52" s="2" t="s">
        <v>1115</v>
      </c>
      <c r="D52" s="2" t="s">
        <v>1116</v>
      </c>
      <c r="E52" s="2" t="s">
        <v>1117</v>
      </c>
      <c r="F52" s="2" t="s">
        <v>1118</v>
      </c>
      <c r="G52" s="2" t="s">
        <v>1119</v>
      </c>
      <c r="H52" s="2" t="s">
        <v>1120</v>
      </c>
    </row>
    <row r="53" spans="1:8" ht="180">
      <c r="A53" s="3" t="s">
        <v>53</v>
      </c>
      <c r="B53" s="18" t="s">
        <v>54</v>
      </c>
      <c r="C53" s="23" t="s">
        <v>1734</v>
      </c>
      <c r="D53" s="10" t="s">
        <v>55</v>
      </c>
      <c r="E53" s="10"/>
      <c r="F53" s="23" t="s">
        <v>56</v>
      </c>
      <c r="G53" s="26"/>
      <c r="H53" s="23" t="s">
        <v>57</v>
      </c>
    </row>
    <row r="54" spans="1:8" ht="180">
      <c r="A54" s="3" t="s">
        <v>58</v>
      </c>
      <c r="B54" s="30"/>
      <c r="C54" s="13" t="s">
        <v>1606</v>
      </c>
      <c r="D54" s="13" t="s">
        <v>59</v>
      </c>
      <c r="E54" s="26"/>
      <c r="F54" s="20" t="s">
        <v>60</v>
      </c>
      <c r="G54" s="10" t="s">
        <v>61</v>
      </c>
      <c r="H54" s="26"/>
    </row>
    <row r="55" spans="1:8" ht="315">
      <c r="A55" s="3" t="s">
        <v>62</v>
      </c>
      <c r="B55" s="20" t="s">
        <v>63</v>
      </c>
      <c r="C55" s="18" t="s">
        <v>64</v>
      </c>
      <c r="D55" s="13" t="s">
        <v>1443</v>
      </c>
      <c r="E55" s="13" t="s">
        <v>1421</v>
      </c>
      <c r="F55" s="13" t="s">
        <v>1422</v>
      </c>
      <c r="G55" s="10" t="s">
        <v>1</v>
      </c>
      <c r="H55" s="26"/>
    </row>
    <row r="56" spans="1:8" ht="225">
      <c r="A56" s="3" t="s">
        <v>65</v>
      </c>
      <c r="B56" s="18" t="s">
        <v>1746</v>
      </c>
      <c r="C56" s="10" t="s">
        <v>1735</v>
      </c>
      <c r="D56" s="10"/>
      <c r="E56" s="13" t="s">
        <v>1356</v>
      </c>
      <c r="F56" s="13" t="s">
        <v>66</v>
      </c>
      <c r="G56" s="13" t="s">
        <v>67</v>
      </c>
      <c r="H56" s="26"/>
    </row>
    <row r="57" spans="1:8" ht="15">
      <c r="A57" s="27"/>
      <c r="B57" s="27"/>
      <c r="C57" s="27"/>
      <c r="D57" s="27"/>
      <c r="E57" s="27"/>
      <c r="F57" s="27"/>
      <c r="G57" s="27"/>
      <c r="H57" s="27"/>
    </row>
    <row r="58" spans="1:8" ht="15">
      <c r="A58" s="280" t="s">
        <v>1621</v>
      </c>
      <c r="B58" s="278"/>
      <c r="C58" s="278"/>
      <c r="D58" s="33"/>
      <c r="E58" s="281" t="s">
        <v>68</v>
      </c>
      <c r="F58" s="282"/>
      <c r="G58" s="34"/>
      <c r="H58" s="182" t="s">
        <v>1622</v>
      </c>
    </row>
    <row r="59" spans="1:8" ht="60">
      <c r="A59" s="17" t="s">
        <v>1123</v>
      </c>
      <c r="B59" s="35" t="s">
        <v>1125</v>
      </c>
      <c r="C59" s="35" t="s">
        <v>1124</v>
      </c>
      <c r="D59" s="36"/>
      <c r="E59" s="3" t="s">
        <v>1123</v>
      </c>
      <c r="F59" s="8" t="s">
        <v>1124</v>
      </c>
      <c r="G59" s="27"/>
      <c r="H59" s="37" t="s">
        <v>1179</v>
      </c>
    </row>
    <row r="60" spans="1:8" ht="120">
      <c r="A60" s="35" t="s">
        <v>1799</v>
      </c>
      <c r="B60" s="23">
        <v>1</v>
      </c>
      <c r="C60" s="13" t="s">
        <v>1800</v>
      </c>
      <c r="D60" s="27"/>
      <c r="E60" s="3" t="s">
        <v>70</v>
      </c>
      <c r="F60" s="38" t="s">
        <v>71</v>
      </c>
      <c r="G60" s="27"/>
      <c r="H60" s="27"/>
    </row>
    <row r="61" spans="1:8" ht="180">
      <c r="A61" s="3" t="s">
        <v>1791</v>
      </c>
      <c r="B61" s="13">
        <v>1</v>
      </c>
      <c r="C61" s="39" t="s">
        <v>1792</v>
      </c>
      <c r="D61" s="27"/>
      <c r="E61" s="3" t="s">
        <v>72</v>
      </c>
      <c r="F61" s="13" t="s">
        <v>73</v>
      </c>
      <c r="G61" s="27"/>
      <c r="H61" s="27"/>
    </row>
    <row r="62" spans="1:8" ht="90">
      <c r="A62" s="3" t="s">
        <v>74</v>
      </c>
      <c r="B62" s="13">
        <v>1</v>
      </c>
      <c r="C62" s="39" t="s">
        <v>1113</v>
      </c>
      <c r="D62" s="27"/>
      <c r="E62" s="3" t="s">
        <v>75</v>
      </c>
      <c r="F62" s="40" t="s">
        <v>1423</v>
      </c>
      <c r="G62" s="27"/>
      <c r="H62" s="27"/>
    </row>
    <row r="63" spans="1:8" ht="150">
      <c r="A63" s="3" t="s">
        <v>1803</v>
      </c>
      <c r="B63" s="13">
        <v>1</v>
      </c>
      <c r="C63" s="4" t="s">
        <v>1804</v>
      </c>
      <c r="D63" s="27"/>
      <c r="E63" s="3" t="s">
        <v>76</v>
      </c>
      <c r="F63" s="40" t="s">
        <v>1607</v>
      </c>
      <c r="G63" s="27"/>
      <c r="H63" s="27"/>
    </row>
    <row r="64" spans="1:8" ht="150">
      <c r="A64" s="3" t="s">
        <v>1809</v>
      </c>
      <c r="B64" s="13">
        <v>5</v>
      </c>
      <c r="C64" s="20" t="s">
        <v>1810</v>
      </c>
      <c r="D64" s="27"/>
      <c r="E64" s="3" t="s">
        <v>77</v>
      </c>
      <c r="F64" s="40" t="s">
        <v>78</v>
      </c>
      <c r="G64" s="27"/>
      <c r="H64" s="27"/>
    </row>
    <row r="65" spans="1:6" ht="150">
      <c r="A65" s="3" t="s">
        <v>79</v>
      </c>
      <c r="B65" s="13">
        <v>7</v>
      </c>
      <c r="C65" s="20" t="s">
        <v>1424</v>
      </c>
      <c r="D65" s="27"/>
      <c r="E65" s="3" t="s">
        <v>80</v>
      </c>
      <c r="F65" s="39" t="s">
        <v>1392</v>
      </c>
    </row>
    <row r="66" spans="1:6" ht="75">
      <c r="A66" s="3" t="s">
        <v>81</v>
      </c>
      <c r="B66" s="13">
        <v>7</v>
      </c>
      <c r="C66" s="40" t="s">
        <v>82</v>
      </c>
      <c r="D66" s="27"/>
      <c r="E66" s="3" t="s">
        <v>83</v>
      </c>
      <c r="F66" s="39" t="s">
        <v>84</v>
      </c>
    </row>
    <row r="67" spans="1:6" ht="75">
      <c r="A67" s="3" t="s">
        <v>1816</v>
      </c>
      <c r="B67" s="13">
        <v>7</v>
      </c>
      <c r="C67" s="39" t="s">
        <v>1817</v>
      </c>
      <c r="D67" s="27"/>
      <c r="E67" s="3" t="s">
        <v>85</v>
      </c>
      <c r="F67" s="20" t="s">
        <v>86</v>
      </c>
    </row>
    <row r="68" spans="1:6" ht="105">
      <c r="A68" s="3" t="s">
        <v>1801</v>
      </c>
      <c r="B68" s="13">
        <v>7</v>
      </c>
      <c r="C68" s="4" t="s">
        <v>1802</v>
      </c>
      <c r="D68" s="27"/>
      <c r="E68" s="3" t="s">
        <v>87</v>
      </c>
      <c r="F68" s="4" t="s">
        <v>88</v>
      </c>
    </row>
    <row r="69" spans="1:6" ht="195">
      <c r="A69" s="27"/>
      <c r="B69" s="27"/>
      <c r="C69" s="27"/>
      <c r="D69" s="27"/>
      <c r="E69" s="3" t="s">
        <v>89</v>
      </c>
      <c r="F69" s="4" t="s">
        <v>1444</v>
      </c>
    </row>
  </sheetData>
  <mergeCells count="8">
    <mergeCell ref="A51:H51"/>
    <mergeCell ref="A58:C58"/>
    <mergeCell ref="E58:F58"/>
    <mergeCell ref="A1:H1"/>
    <mergeCell ref="A5:H5"/>
    <mergeCell ref="A17:H17"/>
    <mergeCell ref="A30:H30"/>
    <mergeCell ref="A45:H45"/>
  </mergeCells>
  <phoneticPr fontId="26" type="noConversion"/>
  <conditionalFormatting sqref="A31:B43 C31:C34 D31:H43 C36:C43 D54">
    <cfRule type="colorScale" priority="1">
      <colorScale>
        <cfvo type="min"/>
        <cfvo type="max"/>
        <color rgb="FF57BB8A"/>
        <color rgb="FFFFFF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0"/>
  <sheetViews>
    <sheetView workbookViewId="0">
      <pane ySplit="1" topLeftCell="A44" activePane="bottomLeft" state="frozen"/>
      <selection pane="bottomLeft" activeCell="E50" sqref="E50"/>
    </sheetView>
  </sheetViews>
  <sheetFormatPr defaultColWidth="12.5703125" defaultRowHeight="15.75" customHeight="1"/>
  <cols>
    <col min="1" max="1" width="23.28515625" style="191" customWidth="1"/>
    <col min="2" max="2" width="25.42578125" style="191" customWidth="1"/>
    <col min="3" max="3" width="19" style="191" customWidth="1"/>
    <col min="4" max="5" width="29.42578125" style="191" customWidth="1"/>
    <col min="6" max="6" width="9.140625" style="191" customWidth="1"/>
    <col min="7" max="7" width="29" style="191" customWidth="1"/>
    <col min="8" max="8" width="23" style="191" customWidth="1"/>
    <col min="9" max="26" width="7.5703125" style="191" customWidth="1"/>
    <col min="27" max="16384" width="12.5703125" style="191"/>
  </cols>
  <sheetData>
    <row r="1" spans="1:8" ht="31.5">
      <c r="A1" s="204" t="s">
        <v>1853</v>
      </c>
      <c r="B1" s="204" t="s">
        <v>1614</v>
      </c>
      <c r="C1" s="205" t="s">
        <v>1615</v>
      </c>
      <c r="D1" s="206"/>
      <c r="E1" s="204" t="s">
        <v>1854</v>
      </c>
      <c r="F1" s="204" t="s">
        <v>1614</v>
      </c>
      <c r="G1" s="205" t="s">
        <v>1615</v>
      </c>
      <c r="H1" s="206"/>
    </row>
    <row r="2" spans="1:8" ht="31.5">
      <c r="A2" s="207" t="s">
        <v>1613</v>
      </c>
      <c r="B2" s="208"/>
      <c r="C2" s="207" t="s">
        <v>2409</v>
      </c>
      <c r="D2" s="206"/>
      <c r="E2" s="209" t="s">
        <v>2410</v>
      </c>
      <c r="F2" s="210"/>
      <c r="G2" s="211"/>
      <c r="H2" s="206"/>
    </row>
    <row r="3" spans="1:8" ht="31.5">
      <c r="A3" s="212" t="s">
        <v>1393</v>
      </c>
      <c r="B3" s="212"/>
      <c r="C3" s="212" t="s">
        <v>2411</v>
      </c>
      <c r="D3" s="213" t="s">
        <v>2412</v>
      </c>
      <c r="E3" s="214" t="s">
        <v>1834</v>
      </c>
      <c r="F3" s="215"/>
      <c r="G3" s="216" t="s">
        <v>2566</v>
      </c>
      <c r="H3" s="206"/>
    </row>
    <row r="4" spans="1:8" ht="31.5">
      <c r="A4" s="212" t="s">
        <v>1395</v>
      </c>
      <c r="B4" s="212"/>
      <c r="C4" s="217" t="s">
        <v>1729</v>
      </c>
      <c r="D4" s="206"/>
      <c r="E4" s="214" t="s">
        <v>1835</v>
      </c>
      <c r="F4" s="215"/>
      <c r="G4" s="216" t="s">
        <v>1821</v>
      </c>
      <c r="H4" s="206"/>
    </row>
    <row r="5" spans="1:8" ht="47.25">
      <c r="A5" s="212" t="s">
        <v>1425</v>
      </c>
      <c r="B5" s="212"/>
      <c r="C5" s="212" t="s">
        <v>1736</v>
      </c>
      <c r="D5" s="206"/>
      <c r="E5" s="214" t="s">
        <v>1836</v>
      </c>
      <c r="F5" s="215"/>
      <c r="G5" s="216" t="s">
        <v>1829</v>
      </c>
      <c r="H5" s="206"/>
    </row>
    <row r="6" spans="1:8" ht="31.5">
      <c r="A6" s="212" t="s">
        <v>1445</v>
      </c>
      <c r="B6" s="212"/>
      <c r="C6" s="212" t="s">
        <v>1747</v>
      </c>
      <c r="D6" s="206"/>
      <c r="E6" s="214" t="s">
        <v>1837</v>
      </c>
      <c r="F6" s="215"/>
      <c r="G6" s="216" t="s">
        <v>1830</v>
      </c>
      <c r="H6" s="206"/>
    </row>
    <row r="7" spans="1:8" ht="236.25">
      <c r="A7" s="212" t="s">
        <v>1586</v>
      </c>
      <c r="B7" s="218"/>
      <c r="C7" s="212" t="s">
        <v>1793</v>
      </c>
      <c r="D7" s="219"/>
      <c r="E7" s="214" t="s">
        <v>1838</v>
      </c>
      <c r="F7" s="215"/>
      <c r="G7" s="216" t="s">
        <v>1805</v>
      </c>
      <c r="H7" s="206"/>
    </row>
    <row r="8" spans="1:8" ht="63">
      <c r="A8" s="212" t="s">
        <v>1589</v>
      </c>
      <c r="B8" s="212"/>
      <c r="C8" s="212" t="s">
        <v>1794</v>
      </c>
      <c r="D8" s="213"/>
      <c r="E8" s="214" t="s">
        <v>1839</v>
      </c>
      <c r="F8" s="215"/>
      <c r="G8" s="216" t="s">
        <v>1787</v>
      </c>
      <c r="H8" s="206"/>
    </row>
    <row r="9" spans="1:8" ht="47.25">
      <c r="A9" s="212" t="s">
        <v>1595</v>
      </c>
      <c r="B9" s="212"/>
      <c r="C9" s="212" t="s">
        <v>1775</v>
      </c>
      <c r="D9" s="206"/>
      <c r="E9" s="214" t="s">
        <v>1840</v>
      </c>
      <c r="F9" s="215"/>
      <c r="G9" s="216" t="s">
        <v>2413</v>
      </c>
      <c r="H9" s="206"/>
    </row>
    <row r="10" spans="1:8" ht="31.5">
      <c r="A10" s="212" t="s">
        <v>1608</v>
      </c>
      <c r="B10" s="212"/>
      <c r="C10" s="220" t="s">
        <v>1779</v>
      </c>
      <c r="D10" s="213"/>
      <c r="E10" s="214" t="s">
        <v>1841</v>
      </c>
      <c r="F10" s="215"/>
      <c r="G10" s="216" t="s">
        <v>1795</v>
      </c>
      <c r="H10" s="206"/>
    </row>
    <row r="11" spans="1:8">
      <c r="A11" s="221"/>
      <c r="B11" s="221"/>
      <c r="C11" s="221"/>
      <c r="D11" s="213"/>
      <c r="E11" s="214" t="s">
        <v>1843</v>
      </c>
      <c r="F11" s="215"/>
      <c r="G11" s="216"/>
      <c r="H11" s="206"/>
    </row>
    <row r="12" spans="1:8" ht="220.5">
      <c r="A12" s="209" t="s">
        <v>1852</v>
      </c>
      <c r="B12" s="211"/>
      <c r="C12" s="222"/>
      <c r="D12" s="223"/>
      <c r="E12" s="224" t="s">
        <v>1844</v>
      </c>
      <c r="F12" s="215"/>
      <c r="G12" s="216" t="s">
        <v>1831</v>
      </c>
      <c r="H12" s="206"/>
    </row>
    <row r="13" spans="1:8">
      <c r="A13" s="212" t="s">
        <v>1862</v>
      </c>
      <c r="B13" s="225"/>
      <c r="C13" s="225"/>
      <c r="D13" s="206"/>
      <c r="E13" s="226"/>
      <c r="F13" s="227"/>
      <c r="G13" s="227"/>
      <c r="H13" s="206"/>
    </row>
    <row r="14" spans="1:8">
      <c r="A14" s="212" t="s">
        <v>1863</v>
      </c>
      <c r="B14" s="225"/>
      <c r="C14" s="212" t="s">
        <v>1737</v>
      </c>
      <c r="D14" s="206"/>
      <c r="E14" s="209" t="s">
        <v>2414</v>
      </c>
      <c r="F14" s="211"/>
      <c r="G14" s="211"/>
      <c r="H14" s="206"/>
    </row>
    <row r="15" spans="1:8">
      <c r="A15" s="216" t="s">
        <v>1865</v>
      </c>
      <c r="B15" s="216"/>
      <c r="C15" s="216"/>
      <c r="D15" s="206"/>
      <c r="E15" s="214" t="s">
        <v>1778</v>
      </c>
      <c r="F15" s="214"/>
      <c r="G15" s="218"/>
      <c r="H15" s="206"/>
    </row>
    <row r="16" spans="1:8">
      <c r="A16" s="216" t="s">
        <v>1864</v>
      </c>
      <c r="B16" s="216"/>
      <c r="C16" s="216"/>
      <c r="D16" s="206"/>
      <c r="E16" s="214" t="s">
        <v>1745</v>
      </c>
      <c r="F16" s="218"/>
      <c r="G16" s="218"/>
      <c r="H16" s="206"/>
    </row>
    <row r="17" spans="1:8">
      <c r="A17" s="216" t="s">
        <v>1866</v>
      </c>
      <c r="B17" s="216"/>
      <c r="C17" s="216"/>
      <c r="D17" s="206"/>
      <c r="E17" s="228" t="s">
        <v>1822</v>
      </c>
      <c r="F17" s="220"/>
      <c r="G17" s="220"/>
      <c r="H17" s="206"/>
    </row>
    <row r="18" spans="1:8" ht="31.5">
      <c r="A18" s="216" t="s">
        <v>1867</v>
      </c>
      <c r="B18" s="216"/>
      <c r="C18" s="216" t="s">
        <v>1797</v>
      </c>
      <c r="D18" s="206"/>
      <c r="E18" s="228" t="s">
        <v>1832</v>
      </c>
      <c r="F18" s="220">
        <v>0.1</v>
      </c>
      <c r="G18" s="220"/>
      <c r="H18" s="206"/>
    </row>
    <row r="19" spans="1:8">
      <c r="A19" s="216" t="s">
        <v>1868</v>
      </c>
      <c r="B19" s="216"/>
      <c r="C19" s="216" t="s">
        <v>1780</v>
      </c>
      <c r="D19" s="206"/>
      <c r="E19" s="214" t="s">
        <v>1774</v>
      </c>
      <c r="F19" s="218">
        <v>0.5</v>
      </c>
      <c r="G19" s="218"/>
      <c r="H19" s="206"/>
    </row>
    <row r="20" spans="1:8">
      <c r="A20" s="216" t="s">
        <v>1869</v>
      </c>
      <c r="B20" s="216"/>
      <c r="C20" s="229" t="s">
        <v>1737</v>
      </c>
      <c r="D20" s="206"/>
      <c r="E20" s="214" t="s">
        <v>1767</v>
      </c>
      <c r="F20" s="218"/>
      <c r="G20" s="218"/>
      <c r="H20" s="206"/>
    </row>
    <row r="21" spans="1:8">
      <c r="A21" s="216" t="s">
        <v>1870</v>
      </c>
      <c r="B21" s="216"/>
      <c r="C21" s="216" t="s">
        <v>1788</v>
      </c>
      <c r="D21" s="206"/>
      <c r="E21" s="230" t="s">
        <v>1786</v>
      </c>
      <c r="F21" s="218"/>
      <c r="G21" s="218"/>
      <c r="H21" s="206"/>
    </row>
    <row r="22" spans="1:8">
      <c r="A22" s="216" t="s">
        <v>1871</v>
      </c>
      <c r="B22" s="216"/>
      <c r="C22" s="216" t="s">
        <v>1729</v>
      </c>
      <c r="D22" s="206"/>
      <c r="E22" s="228" t="s">
        <v>1733</v>
      </c>
      <c r="F22" s="228"/>
      <c r="G22" s="220"/>
      <c r="H22" s="206"/>
    </row>
    <row r="23" spans="1:8" ht="63">
      <c r="A23" s="216" t="s">
        <v>1872</v>
      </c>
      <c r="B23" s="216"/>
      <c r="C23" s="216" t="s">
        <v>1806</v>
      </c>
      <c r="D23" s="206"/>
      <c r="E23" s="231"/>
      <c r="F23" s="232"/>
      <c r="G23" s="233"/>
      <c r="H23" s="206"/>
    </row>
    <row r="24" spans="1:8" ht="110.25">
      <c r="A24" s="216" t="s">
        <v>1873</v>
      </c>
      <c r="B24" s="216"/>
      <c r="C24" s="216" t="s">
        <v>1811</v>
      </c>
      <c r="D24" s="206"/>
      <c r="E24" s="209" t="s">
        <v>1858</v>
      </c>
      <c r="F24" s="211"/>
      <c r="G24" s="211"/>
      <c r="H24" s="206"/>
    </row>
    <row r="25" spans="1:8" ht="31.5">
      <c r="A25" s="216" t="s">
        <v>1874</v>
      </c>
      <c r="B25" s="216"/>
      <c r="C25" s="216" t="s">
        <v>1781</v>
      </c>
      <c r="D25" s="206"/>
      <c r="E25" s="218" t="s">
        <v>1859</v>
      </c>
      <c r="F25" s="216">
        <v>0.66</v>
      </c>
      <c r="G25" s="216"/>
      <c r="H25" s="206"/>
    </row>
    <row r="26" spans="1:8" ht="31.5">
      <c r="A26" s="216" t="s">
        <v>1875</v>
      </c>
      <c r="B26" s="216"/>
      <c r="C26" s="216" t="s">
        <v>1812</v>
      </c>
      <c r="D26" s="206"/>
      <c r="E26" s="218" t="s">
        <v>1860</v>
      </c>
      <c r="F26" s="216"/>
      <c r="G26" s="216"/>
      <c r="H26" s="206"/>
    </row>
    <row r="27" spans="1:8" ht="47.25">
      <c r="A27" s="216" t="s">
        <v>1876</v>
      </c>
      <c r="B27" s="216"/>
      <c r="C27" s="216" t="s">
        <v>1814</v>
      </c>
      <c r="D27" s="206"/>
      <c r="E27" s="218" t="s">
        <v>1861</v>
      </c>
      <c r="F27" s="216">
        <v>0.33</v>
      </c>
      <c r="G27" s="216"/>
      <c r="H27" s="206"/>
    </row>
    <row r="28" spans="1:8" ht="31.5">
      <c r="A28" s="216" t="s">
        <v>1877</v>
      </c>
      <c r="B28" s="216"/>
      <c r="C28" s="216" t="s">
        <v>1768</v>
      </c>
      <c r="D28" s="206"/>
      <c r="E28" s="231"/>
      <c r="F28" s="232"/>
      <c r="G28" s="232"/>
      <c r="H28" s="206"/>
    </row>
    <row r="29" spans="1:8">
      <c r="A29" s="216" t="s">
        <v>1933</v>
      </c>
      <c r="B29" s="216"/>
      <c r="C29" s="216"/>
      <c r="D29" s="206"/>
      <c r="E29" s="209" t="s">
        <v>1856</v>
      </c>
      <c r="F29" s="211"/>
      <c r="G29" s="211"/>
      <c r="H29" s="206"/>
    </row>
    <row r="30" spans="1:8">
      <c r="A30" s="216" t="s">
        <v>1934</v>
      </c>
      <c r="B30" s="216"/>
      <c r="C30" s="216"/>
      <c r="D30" s="206"/>
      <c r="E30" s="218" t="s">
        <v>1126</v>
      </c>
      <c r="F30" s="216"/>
      <c r="G30" s="216"/>
      <c r="H30" s="206"/>
    </row>
    <row r="31" spans="1:8">
      <c r="A31" s="216" t="s">
        <v>1935</v>
      </c>
      <c r="B31" s="216"/>
      <c r="C31" s="216"/>
      <c r="D31" s="206"/>
      <c r="E31" s="218" t="s">
        <v>1127</v>
      </c>
      <c r="F31" s="216">
        <v>0.33</v>
      </c>
      <c r="G31" s="216" t="s">
        <v>1796</v>
      </c>
      <c r="H31" s="234"/>
    </row>
    <row r="32" spans="1:8">
      <c r="A32" s="216" t="s">
        <v>1936</v>
      </c>
      <c r="B32" s="216"/>
      <c r="C32" s="216"/>
      <c r="D32" s="206"/>
      <c r="E32" s="218" t="s">
        <v>1129</v>
      </c>
      <c r="F32" s="216"/>
      <c r="G32" s="216"/>
      <c r="H32" s="206"/>
    </row>
    <row r="33" spans="1:8">
      <c r="A33" s="216" t="s">
        <v>1932</v>
      </c>
      <c r="B33" s="216"/>
      <c r="C33" s="216"/>
      <c r="D33" s="206"/>
      <c r="E33" s="218" t="s">
        <v>1151</v>
      </c>
      <c r="F33" s="216">
        <v>0.5</v>
      </c>
      <c r="G33" s="216" t="s">
        <v>1796</v>
      </c>
      <c r="H33" s="206"/>
    </row>
    <row r="34" spans="1:8">
      <c r="A34" s="216" t="s">
        <v>1931</v>
      </c>
      <c r="B34" s="216"/>
      <c r="C34" s="216"/>
      <c r="D34" s="206"/>
      <c r="E34" s="218" t="s">
        <v>1194</v>
      </c>
      <c r="F34" s="216">
        <v>0.5</v>
      </c>
      <c r="G34" s="216"/>
      <c r="H34" s="206"/>
    </row>
    <row r="35" spans="1:8" ht="31.5">
      <c r="A35" s="216" t="s">
        <v>1930</v>
      </c>
      <c r="B35" s="216"/>
      <c r="C35" s="216" t="s">
        <v>1768</v>
      </c>
      <c r="D35" s="206"/>
      <c r="E35" s="218" t="s">
        <v>1211</v>
      </c>
      <c r="F35" s="216"/>
      <c r="G35" s="216"/>
      <c r="H35" s="206"/>
    </row>
    <row r="36" spans="1:8">
      <c r="A36" s="216" t="s">
        <v>1928</v>
      </c>
      <c r="B36" s="216"/>
      <c r="C36" s="216" t="s">
        <v>1769</v>
      </c>
      <c r="D36" s="206"/>
      <c r="E36" s="218" t="s">
        <v>1227</v>
      </c>
      <c r="F36" s="216"/>
      <c r="G36" s="216"/>
      <c r="H36" s="206"/>
    </row>
    <row r="37" spans="1:8">
      <c r="A37" s="216" t="s">
        <v>1929</v>
      </c>
      <c r="B37" s="216"/>
      <c r="C37" s="216" t="s">
        <v>1769</v>
      </c>
      <c r="D37" s="206"/>
      <c r="E37" s="218" t="s">
        <v>1242</v>
      </c>
      <c r="F37" s="216"/>
      <c r="G37" s="216"/>
      <c r="H37" s="206"/>
    </row>
    <row r="38" spans="1:8">
      <c r="A38" s="216" t="s">
        <v>1927</v>
      </c>
      <c r="B38" s="216"/>
      <c r="C38" s="216" t="s">
        <v>1776</v>
      </c>
      <c r="D38" s="206"/>
      <c r="E38" s="218" t="s">
        <v>1261</v>
      </c>
      <c r="F38" s="216"/>
      <c r="G38" s="216"/>
      <c r="H38" s="206"/>
    </row>
    <row r="39" spans="1:8">
      <c r="A39" s="216" t="s">
        <v>1926</v>
      </c>
      <c r="B39" s="216"/>
      <c r="C39" s="216" t="s">
        <v>1730</v>
      </c>
      <c r="D39" s="206"/>
      <c r="E39" s="218" t="s">
        <v>1271</v>
      </c>
      <c r="F39" s="216">
        <v>1.2</v>
      </c>
      <c r="G39" s="216"/>
      <c r="H39" s="206"/>
    </row>
    <row r="40" spans="1:8" ht="47.25">
      <c r="A40" s="216" t="s">
        <v>1925</v>
      </c>
      <c r="B40" s="216"/>
      <c r="C40" s="216" t="s">
        <v>1818</v>
      </c>
      <c r="D40" s="206"/>
      <c r="E40" s="218" t="s">
        <v>1290</v>
      </c>
      <c r="F40" s="216">
        <v>1.1000000000000001</v>
      </c>
      <c r="G40" s="216"/>
      <c r="H40" s="206"/>
    </row>
    <row r="41" spans="1:8" ht="63">
      <c r="A41" s="216" t="s">
        <v>1924</v>
      </c>
      <c r="B41" s="216"/>
      <c r="C41" s="216" t="s">
        <v>2415</v>
      </c>
      <c r="D41" s="206"/>
      <c r="E41" s="218" t="s">
        <v>1355</v>
      </c>
      <c r="F41" s="216"/>
      <c r="G41" s="216" t="s">
        <v>1796</v>
      </c>
      <c r="H41" s="206"/>
    </row>
    <row r="42" spans="1:8">
      <c r="A42" s="216" t="s">
        <v>1923</v>
      </c>
      <c r="B42" s="216"/>
      <c r="C42" s="216" t="s">
        <v>1819</v>
      </c>
      <c r="D42" s="206"/>
      <c r="E42" s="226"/>
      <c r="F42" s="227"/>
      <c r="G42" s="227"/>
      <c r="H42" s="206"/>
    </row>
    <row r="43" spans="1:8" ht="47.25">
      <c r="A43" s="216" t="s">
        <v>1922</v>
      </c>
      <c r="B43" s="216"/>
      <c r="C43" s="216" t="s">
        <v>2416</v>
      </c>
      <c r="D43" s="206"/>
      <c r="E43" s="209" t="s">
        <v>1857</v>
      </c>
      <c r="F43" s="211"/>
      <c r="G43" s="211"/>
      <c r="H43" s="206"/>
    </row>
    <row r="44" spans="1:8" ht="47.25">
      <c r="A44" s="216" t="s">
        <v>1921</v>
      </c>
      <c r="B44" s="216"/>
      <c r="C44" s="216" t="s">
        <v>1823</v>
      </c>
      <c r="D44" s="206"/>
      <c r="E44" s="214" t="s">
        <v>1846</v>
      </c>
      <c r="F44" s="215"/>
      <c r="G44" s="215"/>
      <c r="H44" s="206"/>
    </row>
    <row r="45" spans="1:8" ht="31.5">
      <c r="A45" s="216" t="s">
        <v>1920</v>
      </c>
      <c r="B45" s="216"/>
      <c r="C45" s="216"/>
      <c r="D45" s="206"/>
      <c r="E45" s="214" t="s">
        <v>1848</v>
      </c>
      <c r="F45" s="215"/>
      <c r="G45" s="215" t="s">
        <v>2417</v>
      </c>
      <c r="H45" s="206"/>
    </row>
    <row r="46" spans="1:8">
      <c r="A46" s="216" t="s">
        <v>1919</v>
      </c>
      <c r="B46" s="216"/>
      <c r="C46" s="216"/>
      <c r="D46" s="206"/>
      <c r="E46" s="214" t="s">
        <v>1815</v>
      </c>
      <c r="F46" s="215"/>
      <c r="G46" s="215"/>
      <c r="H46" s="206"/>
    </row>
    <row r="47" spans="1:8">
      <c r="A47" s="216" t="s">
        <v>1918</v>
      </c>
      <c r="B47" s="216"/>
      <c r="C47" s="216"/>
      <c r="D47" s="235"/>
      <c r="E47" s="214" t="s">
        <v>1847</v>
      </c>
      <c r="F47" s="215"/>
      <c r="G47" s="215"/>
      <c r="H47" s="206"/>
    </row>
    <row r="48" spans="1:8">
      <c r="A48" s="216" t="s">
        <v>1917</v>
      </c>
      <c r="B48" s="216"/>
      <c r="C48" s="216"/>
      <c r="D48" s="206"/>
      <c r="E48" s="206"/>
      <c r="F48" s="206"/>
      <c r="G48" s="206"/>
      <c r="H48" s="206"/>
    </row>
    <row r="49" spans="1:8" ht="31.5">
      <c r="A49" s="216" t="s">
        <v>1916</v>
      </c>
      <c r="B49" s="216"/>
      <c r="C49" s="216" t="s">
        <v>1770</v>
      </c>
      <c r="D49" s="206"/>
      <c r="E49" s="236" t="s">
        <v>1850</v>
      </c>
      <c r="F49" s="290" t="s">
        <v>2418</v>
      </c>
      <c r="G49" s="288"/>
      <c r="H49" s="237" t="s">
        <v>1849</v>
      </c>
    </row>
    <row r="50" spans="1:8">
      <c r="A50" s="216" t="s">
        <v>1915</v>
      </c>
      <c r="B50" s="216"/>
      <c r="C50" s="216" t="s">
        <v>1824</v>
      </c>
      <c r="D50" s="206"/>
      <c r="E50" s="238" t="s">
        <v>1809</v>
      </c>
      <c r="F50" s="285">
        <v>4</v>
      </c>
      <c r="G50" s="286"/>
      <c r="H50" s="239"/>
    </row>
    <row r="51" spans="1:8">
      <c r="A51" s="216" t="s">
        <v>1912</v>
      </c>
      <c r="B51" s="216"/>
      <c r="C51" s="216"/>
      <c r="D51" s="206"/>
      <c r="E51" s="238" t="s">
        <v>2149</v>
      </c>
      <c r="F51" s="285">
        <v>4</v>
      </c>
      <c r="G51" s="286"/>
      <c r="H51" s="239"/>
    </row>
    <row r="52" spans="1:8" ht="31.5">
      <c r="A52" s="216" t="s">
        <v>1913</v>
      </c>
      <c r="B52" s="216"/>
      <c r="C52" s="216"/>
      <c r="D52" s="206"/>
      <c r="E52" s="238" t="s">
        <v>1845</v>
      </c>
      <c r="F52" s="285" t="s">
        <v>2419</v>
      </c>
      <c r="G52" s="286"/>
      <c r="H52" s="240" t="s">
        <v>2420</v>
      </c>
    </row>
    <row r="53" spans="1:8">
      <c r="A53" s="216" t="s">
        <v>1914</v>
      </c>
      <c r="B53" s="216"/>
      <c r="C53" s="216"/>
      <c r="D53" s="206"/>
      <c r="E53" s="238" t="s">
        <v>2150</v>
      </c>
      <c r="F53" s="285">
        <v>5</v>
      </c>
      <c r="G53" s="286"/>
      <c r="H53" s="239"/>
    </row>
    <row r="54" spans="1:8" ht="63">
      <c r="A54" s="216" t="s">
        <v>1911</v>
      </c>
      <c r="B54" s="216"/>
      <c r="C54" s="216" t="s">
        <v>1825</v>
      </c>
      <c r="D54" s="206"/>
      <c r="E54" s="238" t="s">
        <v>1798</v>
      </c>
      <c r="F54" s="285" t="s">
        <v>2421</v>
      </c>
      <c r="G54" s="286"/>
      <c r="H54" s="241" t="s">
        <v>2422</v>
      </c>
    </row>
    <row r="55" spans="1:8" ht="31.5">
      <c r="A55" s="216" t="s">
        <v>1898</v>
      </c>
      <c r="B55" s="216"/>
      <c r="C55" s="216" t="s">
        <v>1789</v>
      </c>
      <c r="D55" s="206"/>
      <c r="E55" s="238" t="s">
        <v>1816</v>
      </c>
      <c r="F55" s="285" t="s">
        <v>2423</v>
      </c>
      <c r="G55" s="286"/>
      <c r="H55" s="241" t="s">
        <v>2424</v>
      </c>
    </row>
    <row r="56" spans="1:8">
      <c r="A56" s="216" t="s">
        <v>1899</v>
      </c>
      <c r="B56" s="216"/>
      <c r="C56" s="216"/>
      <c r="D56" s="206"/>
      <c r="E56" s="238" t="s">
        <v>1842</v>
      </c>
      <c r="F56" s="285">
        <v>0</v>
      </c>
      <c r="G56" s="286"/>
      <c r="H56" s="239"/>
    </row>
    <row r="57" spans="1:8">
      <c r="A57" s="216" t="s">
        <v>1900</v>
      </c>
      <c r="B57" s="216"/>
      <c r="C57" s="216"/>
      <c r="D57" s="206"/>
      <c r="E57" s="216" t="s">
        <v>1801</v>
      </c>
      <c r="F57" s="287">
        <v>4</v>
      </c>
      <c r="G57" s="288"/>
      <c r="H57" s="239"/>
    </row>
    <row r="58" spans="1:8">
      <c r="A58" s="216" t="s">
        <v>1901</v>
      </c>
      <c r="B58" s="216"/>
      <c r="C58" s="216"/>
      <c r="D58" s="206"/>
      <c r="E58" s="242" t="s">
        <v>1807</v>
      </c>
      <c r="F58" s="289">
        <v>10</v>
      </c>
      <c r="G58" s="288"/>
      <c r="H58" s="239"/>
    </row>
    <row r="59" spans="1:8">
      <c r="A59" s="216" t="s">
        <v>1902</v>
      </c>
      <c r="B59" s="216"/>
      <c r="C59" s="216"/>
      <c r="D59" s="206"/>
      <c r="E59" s="206"/>
      <c r="F59" s="206"/>
      <c r="G59" s="206"/>
      <c r="H59" s="221"/>
    </row>
    <row r="60" spans="1:8">
      <c r="A60" s="216" t="s">
        <v>1903</v>
      </c>
      <c r="B60" s="216"/>
      <c r="C60" s="216" t="s">
        <v>1748</v>
      </c>
      <c r="D60" s="206"/>
      <c r="E60" s="236" t="s">
        <v>1851</v>
      </c>
      <c r="F60" s="290" t="s">
        <v>2418</v>
      </c>
      <c r="G60" s="288"/>
      <c r="H60" s="236" t="s">
        <v>1849</v>
      </c>
    </row>
    <row r="61" spans="1:8" ht="63">
      <c r="A61" s="216" t="s">
        <v>1904</v>
      </c>
      <c r="B61" s="216"/>
      <c r="C61" s="216" t="s">
        <v>1826</v>
      </c>
      <c r="D61" s="206"/>
      <c r="E61" s="238" t="s">
        <v>1731</v>
      </c>
      <c r="F61" s="285">
        <v>3</v>
      </c>
      <c r="G61" s="286"/>
      <c r="H61" s="239"/>
    </row>
    <row r="62" spans="1:8">
      <c r="A62" s="216" t="s">
        <v>1905</v>
      </c>
      <c r="B62" s="216"/>
      <c r="C62" s="216" t="s">
        <v>1749</v>
      </c>
      <c r="D62" s="206"/>
      <c r="E62" s="221"/>
      <c r="F62" s="221"/>
      <c r="G62" s="221"/>
      <c r="H62" s="221"/>
    </row>
    <row r="63" spans="1:8" ht="31.5">
      <c r="A63" s="216" t="s">
        <v>1906</v>
      </c>
      <c r="B63" s="216"/>
      <c r="C63" s="216" t="s">
        <v>1768</v>
      </c>
      <c r="D63" s="206"/>
      <c r="E63" s="221"/>
      <c r="F63" s="221"/>
      <c r="G63" s="221"/>
      <c r="H63" s="221"/>
    </row>
    <row r="64" spans="1:8">
      <c r="A64" s="216" t="s">
        <v>1897</v>
      </c>
      <c r="B64" s="216"/>
      <c r="C64" s="216"/>
      <c r="D64" s="206"/>
      <c r="E64" s="221"/>
      <c r="F64" s="221"/>
      <c r="G64" s="221"/>
      <c r="H64" s="221"/>
    </row>
    <row r="65" spans="1:8">
      <c r="A65" s="216" t="s">
        <v>1896</v>
      </c>
      <c r="B65" s="216"/>
      <c r="C65" s="216" t="s">
        <v>1738</v>
      </c>
      <c r="D65" s="206"/>
      <c r="E65" s="221"/>
      <c r="F65" s="221"/>
      <c r="G65" s="221"/>
      <c r="H65" s="221"/>
    </row>
    <row r="66" spans="1:8">
      <c r="A66" s="216" t="s">
        <v>1895</v>
      </c>
      <c r="B66" s="216"/>
      <c r="C66" s="216" t="s">
        <v>1739</v>
      </c>
      <c r="D66" s="206"/>
      <c r="E66" s="221"/>
      <c r="F66" s="221"/>
      <c r="G66" s="221"/>
      <c r="H66" s="221"/>
    </row>
    <row r="67" spans="1:8">
      <c r="A67" s="216" t="s">
        <v>1894</v>
      </c>
      <c r="B67" s="216"/>
      <c r="C67" s="216" t="s">
        <v>1813</v>
      </c>
      <c r="D67" s="243"/>
      <c r="E67" s="221"/>
      <c r="F67" s="221"/>
      <c r="G67" s="221"/>
      <c r="H67" s="221"/>
    </row>
    <row r="68" spans="1:8">
      <c r="A68" s="216" t="s">
        <v>1893</v>
      </c>
      <c r="B68" s="216"/>
      <c r="C68" s="216"/>
      <c r="D68" s="243"/>
      <c r="E68" s="221"/>
      <c r="F68" s="221"/>
      <c r="G68" s="221"/>
      <c r="H68" s="221"/>
    </row>
    <row r="69" spans="1:8">
      <c r="A69" s="216" t="s">
        <v>1892</v>
      </c>
      <c r="B69" s="216"/>
      <c r="C69" s="216"/>
      <c r="D69" s="206"/>
      <c r="E69" s="221"/>
      <c r="F69" s="221"/>
      <c r="G69" s="221"/>
      <c r="H69" s="221"/>
    </row>
    <row r="70" spans="1:8">
      <c r="A70" s="216" t="s">
        <v>1891</v>
      </c>
      <c r="B70" s="216"/>
      <c r="C70" s="216"/>
      <c r="D70" s="206"/>
      <c r="E70" s="221"/>
      <c r="F70" s="221"/>
      <c r="G70" s="221"/>
      <c r="H70" s="221"/>
    </row>
    <row r="71" spans="1:8">
      <c r="A71" s="216" t="s">
        <v>1890</v>
      </c>
      <c r="B71" s="216"/>
      <c r="C71" s="216" t="s">
        <v>1820</v>
      </c>
      <c r="D71" s="206"/>
      <c r="E71" s="221"/>
      <c r="F71" s="221"/>
      <c r="G71" s="221"/>
      <c r="H71" s="221"/>
    </row>
    <row r="72" spans="1:8">
      <c r="A72" s="216" t="s">
        <v>1889</v>
      </c>
      <c r="B72" s="216"/>
      <c r="C72" s="216"/>
      <c r="D72" s="206"/>
      <c r="E72" s="221"/>
      <c r="F72" s="221"/>
      <c r="G72" s="221"/>
      <c r="H72" s="221"/>
    </row>
    <row r="73" spans="1:8">
      <c r="A73" s="216" t="s">
        <v>1888</v>
      </c>
      <c r="B73" s="216"/>
      <c r="C73" s="216"/>
      <c r="D73" s="206"/>
      <c r="E73" s="221"/>
      <c r="F73" s="221"/>
      <c r="G73" s="221"/>
      <c r="H73" s="206"/>
    </row>
    <row r="74" spans="1:8" ht="31.5">
      <c r="A74" s="216" t="s">
        <v>1887</v>
      </c>
      <c r="B74" s="216"/>
      <c r="C74" s="216" t="s">
        <v>1771</v>
      </c>
      <c r="D74" s="206"/>
      <c r="E74" s="221"/>
      <c r="F74" s="221"/>
      <c r="G74" s="221"/>
      <c r="H74" s="206"/>
    </row>
    <row r="75" spans="1:8" ht="47.25">
      <c r="A75" s="216" t="s">
        <v>1886</v>
      </c>
      <c r="B75" s="216"/>
      <c r="C75" s="216" t="s">
        <v>1833</v>
      </c>
      <c r="D75" s="206"/>
      <c r="E75" s="221"/>
      <c r="F75" s="221"/>
      <c r="G75" s="221"/>
      <c r="H75" s="206"/>
    </row>
    <row r="76" spans="1:8">
      <c r="A76" s="216" t="s">
        <v>1884</v>
      </c>
      <c r="B76" s="216"/>
      <c r="C76" s="216" t="s">
        <v>1772</v>
      </c>
      <c r="D76" s="206"/>
      <c r="E76" s="221"/>
      <c r="F76" s="221"/>
      <c r="G76" s="221"/>
      <c r="H76" s="206"/>
    </row>
    <row r="77" spans="1:8">
      <c r="A77" s="216" t="s">
        <v>1885</v>
      </c>
      <c r="B77" s="216"/>
      <c r="C77" s="216"/>
      <c r="D77" s="206"/>
      <c r="E77" s="221"/>
      <c r="F77" s="221"/>
      <c r="G77" s="221"/>
      <c r="H77" s="206"/>
    </row>
    <row r="78" spans="1:8">
      <c r="A78" s="216" t="s">
        <v>1910</v>
      </c>
      <c r="B78" s="216"/>
      <c r="C78" s="216" t="s">
        <v>1750</v>
      </c>
      <c r="D78" s="206"/>
      <c r="E78" s="206"/>
      <c r="F78" s="206"/>
      <c r="G78" s="206"/>
      <c r="H78" s="206"/>
    </row>
    <row r="79" spans="1:8">
      <c r="A79" s="216" t="s">
        <v>1883</v>
      </c>
      <c r="B79" s="216"/>
      <c r="C79" s="216" t="s">
        <v>1820</v>
      </c>
      <c r="D79" s="206"/>
      <c r="E79" s="206"/>
      <c r="F79" s="206"/>
      <c r="G79" s="206"/>
      <c r="H79" s="206"/>
    </row>
    <row r="80" spans="1:8" ht="31.5">
      <c r="A80" s="216" t="s">
        <v>1882</v>
      </c>
      <c r="B80" s="216"/>
      <c r="C80" s="216" t="s">
        <v>1827</v>
      </c>
      <c r="D80" s="206"/>
      <c r="E80" s="206"/>
      <c r="F80" s="206"/>
      <c r="G80" s="206"/>
      <c r="H80" s="206"/>
    </row>
    <row r="81" spans="1:8">
      <c r="A81" s="216" t="s">
        <v>1822</v>
      </c>
      <c r="B81" s="216"/>
      <c r="C81" s="216" t="s">
        <v>1739</v>
      </c>
      <c r="D81" s="206"/>
      <c r="E81" s="206"/>
      <c r="F81" s="206"/>
      <c r="G81" s="206"/>
      <c r="H81" s="206"/>
    </row>
    <row r="82" spans="1:8">
      <c r="A82" s="216" t="s">
        <v>1881</v>
      </c>
      <c r="B82" s="216"/>
      <c r="C82" s="216" t="s">
        <v>1740</v>
      </c>
      <c r="D82" s="206"/>
      <c r="E82" s="206"/>
      <c r="F82" s="206"/>
      <c r="G82" s="206"/>
      <c r="H82" s="206"/>
    </row>
    <row r="83" spans="1:8">
      <c r="A83" s="216" t="s">
        <v>1880</v>
      </c>
      <c r="B83" s="216"/>
      <c r="C83" s="216" t="s">
        <v>1776</v>
      </c>
      <c r="D83" s="206"/>
      <c r="E83" s="206"/>
      <c r="F83" s="206"/>
      <c r="G83" s="206"/>
      <c r="H83" s="206"/>
    </row>
    <row r="84" spans="1:8">
      <c r="A84" s="216" t="s">
        <v>1909</v>
      </c>
      <c r="B84" s="216"/>
      <c r="C84" s="216" t="s">
        <v>1739</v>
      </c>
      <c r="D84" s="206"/>
      <c r="E84" s="206"/>
      <c r="F84" s="206"/>
      <c r="G84" s="206"/>
      <c r="H84" s="206"/>
    </row>
    <row r="85" spans="1:8">
      <c r="A85" s="216" t="s">
        <v>1908</v>
      </c>
      <c r="B85" s="216"/>
      <c r="C85" s="216" t="s">
        <v>1780</v>
      </c>
      <c r="D85" s="206"/>
      <c r="E85" s="206"/>
      <c r="F85" s="206"/>
      <c r="G85" s="206"/>
      <c r="H85" s="206"/>
    </row>
    <row r="86" spans="1:8">
      <c r="A86" s="216" t="s">
        <v>1879</v>
      </c>
      <c r="B86" s="216"/>
      <c r="C86" s="216"/>
      <c r="D86" s="206"/>
      <c r="E86" s="206"/>
      <c r="F86" s="206"/>
      <c r="G86" s="206"/>
      <c r="H86" s="206"/>
    </row>
    <row r="87" spans="1:8">
      <c r="A87" s="216" t="s">
        <v>1878</v>
      </c>
      <c r="B87" s="216"/>
      <c r="C87" s="216" t="s">
        <v>1824</v>
      </c>
      <c r="D87" s="206"/>
      <c r="E87" s="206"/>
      <c r="F87" s="206"/>
      <c r="G87" s="206"/>
      <c r="H87" s="206"/>
    </row>
    <row r="88" spans="1:8">
      <c r="A88" s="216" t="s">
        <v>2425</v>
      </c>
      <c r="B88" s="216"/>
      <c r="C88" s="216" t="s">
        <v>1828</v>
      </c>
      <c r="D88" s="206"/>
      <c r="E88" s="206"/>
      <c r="F88" s="206"/>
      <c r="G88" s="206"/>
      <c r="H88" s="206"/>
    </row>
    <row r="89" spans="1:8" ht="31.5">
      <c r="A89" s="244" t="s">
        <v>1907</v>
      </c>
      <c r="B89" s="244"/>
      <c r="C89" s="244" t="s">
        <v>1782</v>
      </c>
      <c r="D89" s="206"/>
      <c r="E89" s="206"/>
      <c r="F89" s="206"/>
      <c r="G89" s="206"/>
      <c r="H89" s="206"/>
    </row>
    <row r="90" spans="1:8" ht="12.75"/>
  </sheetData>
  <mergeCells count="12">
    <mergeCell ref="F54:G54"/>
    <mergeCell ref="F55:G55"/>
    <mergeCell ref="F49:G49"/>
    <mergeCell ref="F50:G50"/>
    <mergeCell ref="F51:G51"/>
    <mergeCell ref="F52:G52"/>
    <mergeCell ref="F53:G53"/>
    <mergeCell ref="F56:G56"/>
    <mergeCell ref="F57:G57"/>
    <mergeCell ref="F58:G58"/>
    <mergeCell ref="F60:G60"/>
    <mergeCell ref="F61:G61"/>
  </mergeCells>
  <phoneticPr fontId="26" type="noConversion"/>
  <conditionalFormatting sqref="A37:A44 A87:A93">
    <cfRule type="colorScale" priority="1">
      <colorScale>
        <cfvo type="min"/>
        <cfvo type="max"/>
        <color rgb="FF57BB8A"/>
        <color rgb="FFFFFFFF"/>
      </colorScale>
    </cfRule>
  </conditionalFormatting>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
  <sheetViews>
    <sheetView zoomScaleNormal="100" workbookViewId="0">
      <pane xSplit="1" ySplit="2" topLeftCell="B3" activePane="bottomRight" state="frozen"/>
      <selection pane="topRight" activeCell="B1" sqref="B1"/>
      <selection pane="bottomLeft" activeCell="A3" sqref="A3"/>
      <selection pane="bottomRight" activeCell="L6" sqref="L6"/>
    </sheetView>
  </sheetViews>
  <sheetFormatPr defaultColWidth="12.5703125" defaultRowHeight="15.75" customHeight="1"/>
  <cols>
    <col min="1" max="2" width="25.42578125" customWidth="1"/>
    <col min="3" max="5" width="22.42578125" customWidth="1"/>
    <col min="6" max="6" width="28.7109375" customWidth="1"/>
    <col min="7" max="7" width="28.28515625" customWidth="1"/>
    <col min="8" max="8" width="29.140625" customWidth="1"/>
    <col min="9" max="9" width="28.85546875" customWidth="1"/>
    <col min="10" max="10" width="21.5703125" customWidth="1"/>
    <col min="11" max="11" width="24" customWidth="1"/>
    <col min="12" max="12" width="28.5703125" customWidth="1"/>
    <col min="13" max="13" width="29" customWidth="1"/>
    <col min="14" max="14" width="23" customWidth="1"/>
    <col min="15" max="15" width="18.42578125" customWidth="1"/>
    <col min="16" max="29" width="7.5703125" customWidth="1"/>
  </cols>
  <sheetData>
    <row r="1" spans="1:15">
      <c r="A1" s="245"/>
      <c r="B1" s="245" t="s">
        <v>1937</v>
      </c>
      <c r="C1" s="246" t="s">
        <v>1940</v>
      </c>
      <c r="D1" s="246" t="s">
        <v>1979</v>
      </c>
      <c r="E1" s="291" t="s">
        <v>2549</v>
      </c>
      <c r="F1" s="292"/>
      <c r="G1" s="292"/>
      <c r="H1" s="292"/>
      <c r="I1" s="292"/>
      <c r="J1" s="292"/>
      <c r="K1" s="292"/>
      <c r="L1" s="246"/>
      <c r="M1" s="246"/>
      <c r="N1" s="246"/>
      <c r="O1" s="246"/>
    </row>
    <row r="2" spans="1:15" ht="94.5">
      <c r="A2" s="245"/>
      <c r="B2" s="245"/>
      <c r="C2" s="245" t="s">
        <v>1968</v>
      </c>
      <c r="D2" s="245" t="s">
        <v>1980</v>
      </c>
      <c r="E2" s="245" t="s">
        <v>1981</v>
      </c>
      <c r="F2" s="245" t="s">
        <v>1982</v>
      </c>
      <c r="G2" s="245" t="s">
        <v>1856</v>
      </c>
      <c r="H2" s="245" t="s">
        <v>1858</v>
      </c>
      <c r="I2" s="245" t="s">
        <v>1857</v>
      </c>
      <c r="J2" s="245" t="s">
        <v>1850</v>
      </c>
      <c r="K2" s="245" t="s">
        <v>1983</v>
      </c>
      <c r="L2" s="245" t="s">
        <v>1984</v>
      </c>
      <c r="M2" s="245" t="s">
        <v>2252</v>
      </c>
      <c r="N2" s="245" t="s">
        <v>1985</v>
      </c>
      <c r="O2" s="245" t="s">
        <v>1986</v>
      </c>
    </row>
    <row r="3" spans="1:15" ht="346.5">
      <c r="A3" s="247" t="s">
        <v>2151</v>
      </c>
      <c r="B3" s="247" t="s">
        <v>1938</v>
      </c>
      <c r="C3" s="248" t="s">
        <v>1961</v>
      </c>
      <c r="D3" s="249" t="s">
        <v>2426</v>
      </c>
      <c r="E3" s="231" t="s">
        <v>2152</v>
      </c>
      <c r="F3" s="231"/>
      <c r="G3" s="250" t="s">
        <v>2427</v>
      </c>
      <c r="H3" s="251"/>
      <c r="I3" s="249"/>
      <c r="J3" s="231"/>
      <c r="K3" s="249" t="s">
        <v>2228</v>
      </c>
      <c r="L3" s="249"/>
      <c r="M3" s="231" t="s">
        <v>2428</v>
      </c>
      <c r="N3" s="231" t="s">
        <v>92</v>
      </c>
      <c r="O3" s="224" t="s">
        <v>2177</v>
      </c>
    </row>
    <row r="4" spans="1:15" ht="141.75">
      <c r="A4" s="252" t="s">
        <v>93</v>
      </c>
      <c r="B4" s="252" t="s">
        <v>1939</v>
      </c>
      <c r="C4" s="248" t="s">
        <v>1958</v>
      </c>
      <c r="D4" s="249" t="s">
        <v>2117</v>
      </c>
      <c r="E4" s="231" t="s">
        <v>2160</v>
      </c>
      <c r="F4" s="231"/>
      <c r="G4" s="249"/>
      <c r="H4" s="251"/>
      <c r="I4" s="249"/>
      <c r="J4" s="231"/>
      <c r="K4" s="249" t="s">
        <v>2238</v>
      </c>
      <c r="L4" s="249"/>
      <c r="M4" s="231" t="s">
        <v>2273</v>
      </c>
      <c r="N4" s="231" t="s">
        <v>94</v>
      </c>
      <c r="O4" s="224" t="s">
        <v>95</v>
      </c>
    </row>
    <row r="5" spans="1:15" ht="47.25">
      <c r="A5" s="247" t="s">
        <v>96</v>
      </c>
      <c r="B5" s="247" t="s">
        <v>1987</v>
      </c>
      <c r="C5" s="253" t="s">
        <v>1969</v>
      </c>
      <c r="D5" s="249" t="s">
        <v>1945</v>
      </c>
      <c r="E5" s="231"/>
      <c r="F5" s="254"/>
      <c r="G5" s="251"/>
      <c r="H5" s="251"/>
      <c r="I5" s="251"/>
      <c r="J5" s="231" t="s">
        <v>2569</v>
      </c>
      <c r="K5" s="255" t="s">
        <v>2570</v>
      </c>
      <c r="L5" s="249"/>
      <c r="M5" s="231"/>
      <c r="N5" s="231" t="s">
        <v>97</v>
      </c>
      <c r="O5" s="224"/>
    </row>
    <row r="6" spans="1:15" ht="189">
      <c r="A6" s="252" t="s">
        <v>98</v>
      </c>
      <c r="B6" s="252" t="s">
        <v>1988</v>
      </c>
      <c r="C6" s="248" t="s">
        <v>1959</v>
      </c>
      <c r="D6" s="249" t="s">
        <v>2098</v>
      </c>
      <c r="E6" s="231" t="s">
        <v>2159</v>
      </c>
      <c r="F6" s="231"/>
      <c r="G6" s="231"/>
      <c r="H6" s="231" t="s">
        <v>2219</v>
      </c>
      <c r="I6" s="231" t="s">
        <v>2143</v>
      </c>
      <c r="J6" s="231"/>
      <c r="K6" s="249" t="s">
        <v>2229</v>
      </c>
      <c r="L6" s="249" t="s">
        <v>2278</v>
      </c>
      <c r="M6" s="231" t="s">
        <v>2275</v>
      </c>
      <c r="N6" s="231" t="s">
        <v>99</v>
      </c>
      <c r="O6" s="224" t="s">
        <v>100</v>
      </c>
    </row>
    <row r="7" spans="1:15" ht="189">
      <c r="A7" s="252" t="s">
        <v>101</v>
      </c>
      <c r="B7" s="252" t="s">
        <v>1989</v>
      </c>
      <c r="C7" s="248" t="s">
        <v>1959</v>
      </c>
      <c r="D7" s="249" t="s">
        <v>2098</v>
      </c>
      <c r="E7" s="231" t="s">
        <v>2159</v>
      </c>
      <c r="F7" s="231"/>
      <c r="G7" s="231"/>
      <c r="H7" s="231" t="s">
        <v>2219</v>
      </c>
      <c r="I7" s="231" t="s">
        <v>2143</v>
      </c>
      <c r="J7" s="231"/>
      <c r="K7" s="249" t="s">
        <v>2229</v>
      </c>
      <c r="L7" s="249" t="s">
        <v>2277</v>
      </c>
      <c r="M7" s="231" t="s">
        <v>2276</v>
      </c>
      <c r="N7" s="231" t="s">
        <v>102</v>
      </c>
      <c r="O7" s="224" t="s">
        <v>103</v>
      </c>
    </row>
    <row r="8" spans="1:15" ht="189">
      <c r="A8" s="252" t="s">
        <v>104</v>
      </c>
      <c r="B8" s="252" t="s">
        <v>1990</v>
      </c>
      <c r="C8" s="248" t="s">
        <v>1959</v>
      </c>
      <c r="D8" s="249" t="s">
        <v>2125</v>
      </c>
      <c r="E8" s="249" t="s">
        <v>2167</v>
      </c>
      <c r="F8" s="231"/>
      <c r="G8" s="249"/>
      <c r="H8" s="249"/>
      <c r="I8" s="249"/>
      <c r="J8" s="249"/>
      <c r="K8" s="249" t="s">
        <v>2239</v>
      </c>
      <c r="L8" s="249"/>
      <c r="M8" s="249" t="s">
        <v>1229</v>
      </c>
      <c r="N8" s="249" t="s">
        <v>105</v>
      </c>
      <c r="O8" s="256" t="s">
        <v>2178</v>
      </c>
    </row>
    <row r="9" spans="1:15" ht="78.75">
      <c r="A9" s="247" t="s">
        <v>106</v>
      </c>
      <c r="B9" s="247" t="s">
        <v>1991</v>
      </c>
      <c r="C9" s="248" t="s">
        <v>1970</v>
      </c>
      <c r="D9" s="249" t="s">
        <v>2083</v>
      </c>
      <c r="E9" s="231"/>
      <c r="F9" s="231"/>
      <c r="G9" s="231"/>
      <c r="H9" s="231"/>
      <c r="I9" s="231"/>
      <c r="J9" s="231"/>
      <c r="K9" s="249"/>
      <c r="L9" s="249"/>
      <c r="M9" s="231" t="s">
        <v>2282</v>
      </c>
      <c r="N9" s="231" t="s">
        <v>107</v>
      </c>
      <c r="O9" s="224" t="s">
        <v>108</v>
      </c>
    </row>
    <row r="10" spans="1:15" ht="141.75">
      <c r="A10" s="252" t="s">
        <v>109</v>
      </c>
      <c r="B10" s="252" t="s">
        <v>1992</v>
      </c>
      <c r="C10" s="248" t="s">
        <v>1970</v>
      </c>
      <c r="D10" s="249" t="s">
        <v>1790</v>
      </c>
      <c r="E10" s="249" t="s">
        <v>2161</v>
      </c>
      <c r="F10" s="249"/>
      <c r="G10" s="231"/>
      <c r="H10" s="231"/>
      <c r="I10" s="231"/>
      <c r="J10" s="231"/>
      <c r="K10" s="249" t="s">
        <v>2230</v>
      </c>
      <c r="L10" s="249"/>
      <c r="M10" s="231" t="s">
        <v>2253</v>
      </c>
      <c r="N10" s="231" t="s">
        <v>110</v>
      </c>
      <c r="O10" s="224" t="s">
        <v>111</v>
      </c>
    </row>
    <row r="11" spans="1:15" ht="63">
      <c r="A11" s="247" t="s">
        <v>112</v>
      </c>
      <c r="B11" s="247" t="s">
        <v>1993</v>
      </c>
      <c r="C11" s="248" t="s">
        <v>1964</v>
      </c>
      <c r="D11" s="249" t="s">
        <v>2084</v>
      </c>
      <c r="E11" s="249" t="s">
        <v>2162</v>
      </c>
      <c r="F11" s="249"/>
      <c r="G11" s="231"/>
      <c r="H11" s="249" t="s">
        <v>2220</v>
      </c>
      <c r="I11" s="231"/>
      <c r="J11" s="231"/>
      <c r="K11" s="249" t="s">
        <v>2231</v>
      </c>
      <c r="L11" s="249" t="s">
        <v>2279</v>
      </c>
      <c r="M11" s="231" t="s">
        <v>2254</v>
      </c>
      <c r="N11" s="231" t="s">
        <v>113</v>
      </c>
      <c r="O11" s="224" t="s">
        <v>2179</v>
      </c>
    </row>
    <row r="12" spans="1:15" ht="63">
      <c r="A12" s="247" t="s">
        <v>114</v>
      </c>
      <c r="B12" s="247" t="s">
        <v>1994</v>
      </c>
      <c r="C12" s="248" t="s">
        <v>1964</v>
      </c>
      <c r="D12" s="249" t="s">
        <v>2084</v>
      </c>
      <c r="E12" s="249" t="s">
        <v>2162</v>
      </c>
      <c r="F12" s="249"/>
      <c r="G12" s="231"/>
      <c r="H12" s="249" t="s">
        <v>2220</v>
      </c>
      <c r="I12" s="231"/>
      <c r="J12" s="231"/>
      <c r="K12" s="249" t="s">
        <v>2231</v>
      </c>
      <c r="L12" s="249" t="s">
        <v>2279</v>
      </c>
      <c r="M12" s="231" t="s">
        <v>2254</v>
      </c>
      <c r="N12" s="231" t="s">
        <v>113</v>
      </c>
      <c r="O12" s="224" t="s">
        <v>2179</v>
      </c>
    </row>
    <row r="13" spans="1:15" ht="204.75">
      <c r="A13" s="252" t="s">
        <v>115</v>
      </c>
      <c r="B13" s="252" t="s">
        <v>1995</v>
      </c>
      <c r="C13" s="248" t="s">
        <v>1959</v>
      </c>
      <c r="D13" s="249" t="s">
        <v>2118</v>
      </c>
      <c r="E13" s="231" t="s">
        <v>2159</v>
      </c>
      <c r="F13" s="231"/>
      <c r="G13" s="231"/>
      <c r="H13" s="231" t="s">
        <v>2219</v>
      </c>
      <c r="I13" s="231" t="s">
        <v>2144</v>
      </c>
      <c r="J13" s="231"/>
      <c r="K13" s="249" t="s">
        <v>2229</v>
      </c>
      <c r="L13" s="249" t="s">
        <v>2278</v>
      </c>
      <c r="M13" s="231"/>
      <c r="N13" s="231"/>
      <c r="O13" s="224"/>
    </row>
    <row r="14" spans="1:15" ht="63">
      <c r="A14" s="247" t="s">
        <v>1160</v>
      </c>
      <c r="B14" s="247" t="s">
        <v>1996</v>
      </c>
      <c r="C14" s="253" t="s">
        <v>1965</v>
      </c>
      <c r="D14" s="249" t="s">
        <v>2429</v>
      </c>
      <c r="E14" s="249"/>
      <c r="F14" s="249"/>
      <c r="G14" s="249" t="s">
        <v>1161</v>
      </c>
      <c r="H14" s="231"/>
      <c r="I14" s="249" t="s">
        <v>2126</v>
      </c>
      <c r="J14" s="231"/>
      <c r="K14" s="249"/>
      <c r="L14" s="249" t="s">
        <v>1586</v>
      </c>
      <c r="M14" s="231" t="s">
        <v>1162</v>
      </c>
      <c r="N14" s="231" t="s">
        <v>116</v>
      </c>
      <c r="O14" s="224" t="s">
        <v>2180</v>
      </c>
    </row>
    <row r="15" spans="1:15" ht="63">
      <c r="A15" s="247" t="s">
        <v>117</v>
      </c>
      <c r="B15" s="247" t="s">
        <v>1997</v>
      </c>
      <c r="C15" s="253"/>
      <c r="D15" s="249" t="s">
        <v>1941</v>
      </c>
      <c r="E15" s="249" t="s">
        <v>2162</v>
      </c>
      <c r="F15" s="249"/>
      <c r="G15" s="231"/>
      <c r="H15" s="231"/>
      <c r="I15" s="231"/>
      <c r="J15" s="231"/>
      <c r="K15" s="255" t="s">
        <v>2243</v>
      </c>
      <c r="L15" s="249" t="s">
        <v>1589</v>
      </c>
      <c r="M15" s="231"/>
      <c r="N15" s="231" t="s">
        <v>118</v>
      </c>
      <c r="O15" s="224"/>
    </row>
    <row r="16" spans="1:15" ht="94.5">
      <c r="A16" s="247" t="s">
        <v>119</v>
      </c>
      <c r="B16" s="247" t="s">
        <v>1998</v>
      </c>
      <c r="C16" s="248" t="s">
        <v>1965</v>
      </c>
      <c r="D16" s="249" t="s">
        <v>1946</v>
      </c>
      <c r="E16" s="249" t="s">
        <v>2162</v>
      </c>
      <c r="F16" s="249"/>
      <c r="G16" s="231" t="s">
        <v>1180</v>
      </c>
      <c r="H16" s="231"/>
      <c r="I16" s="231"/>
      <c r="J16" s="231"/>
      <c r="K16" s="255" t="s">
        <v>2430</v>
      </c>
      <c r="L16" s="249" t="s">
        <v>1589</v>
      </c>
      <c r="M16" s="231" t="s">
        <v>2274</v>
      </c>
      <c r="N16" s="231" t="s">
        <v>120</v>
      </c>
      <c r="O16" s="224"/>
    </row>
    <row r="17" spans="1:15" ht="94.5">
      <c r="A17" s="247" t="s">
        <v>121</v>
      </c>
      <c r="B17" s="247" t="s">
        <v>1999</v>
      </c>
      <c r="C17" s="248" t="s">
        <v>1965</v>
      </c>
      <c r="D17" s="249" t="s">
        <v>1946</v>
      </c>
      <c r="E17" s="249" t="s">
        <v>2162</v>
      </c>
      <c r="F17" s="249"/>
      <c r="G17" s="231" t="s">
        <v>1180</v>
      </c>
      <c r="H17" s="231"/>
      <c r="I17" s="231"/>
      <c r="J17" s="231"/>
      <c r="K17" s="255" t="s">
        <v>2430</v>
      </c>
      <c r="L17" s="249"/>
      <c r="M17" s="231" t="s">
        <v>2274</v>
      </c>
      <c r="N17" s="231" t="s">
        <v>120</v>
      </c>
      <c r="O17" s="224"/>
    </row>
    <row r="18" spans="1:15" ht="78.75">
      <c r="A18" s="247" t="s">
        <v>122</v>
      </c>
      <c r="B18" s="247" t="s">
        <v>2000</v>
      </c>
      <c r="C18" s="253"/>
      <c r="D18" s="257" t="s">
        <v>1945</v>
      </c>
      <c r="E18" s="249" t="s">
        <v>2162</v>
      </c>
      <c r="F18" s="249"/>
      <c r="G18" s="231"/>
      <c r="H18" s="231"/>
      <c r="I18" s="231"/>
      <c r="J18" s="231"/>
      <c r="K18" s="249" t="s">
        <v>2231</v>
      </c>
      <c r="L18" s="249"/>
      <c r="M18" s="231" t="s">
        <v>2255</v>
      </c>
      <c r="N18" s="231" t="s">
        <v>123</v>
      </c>
      <c r="O18" s="224" t="s">
        <v>2181</v>
      </c>
    </row>
    <row r="19" spans="1:15" ht="110.25">
      <c r="A19" s="247" t="s">
        <v>124</v>
      </c>
      <c r="B19" s="247" t="s">
        <v>2001</v>
      </c>
      <c r="C19" s="258"/>
      <c r="D19" s="249" t="s">
        <v>1945</v>
      </c>
      <c r="E19" s="249" t="s">
        <v>2162</v>
      </c>
      <c r="F19" s="249"/>
      <c r="G19" s="231"/>
      <c r="H19" s="231"/>
      <c r="I19" s="231"/>
      <c r="J19" s="231"/>
      <c r="K19" s="249" t="s">
        <v>2231</v>
      </c>
      <c r="L19" s="249"/>
      <c r="M19" s="231" t="s">
        <v>2256</v>
      </c>
      <c r="N19" s="231" t="s">
        <v>125</v>
      </c>
      <c r="O19" s="224" t="s">
        <v>2182</v>
      </c>
    </row>
    <row r="20" spans="1:15" ht="94.5">
      <c r="A20" s="247" t="s">
        <v>126</v>
      </c>
      <c r="B20" s="247" t="s">
        <v>2002</v>
      </c>
      <c r="C20" s="248" t="s">
        <v>1961</v>
      </c>
      <c r="D20" s="249" t="s">
        <v>2127</v>
      </c>
      <c r="E20" s="249" t="s">
        <v>2183</v>
      </c>
      <c r="F20" s="249"/>
      <c r="G20" s="231"/>
      <c r="H20" s="231" t="s">
        <v>2221</v>
      </c>
      <c r="I20" s="231" t="s">
        <v>2119</v>
      </c>
      <c r="J20" s="231"/>
      <c r="K20" s="249"/>
      <c r="L20" s="249"/>
      <c r="M20" s="231" t="s">
        <v>2169</v>
      </c>
      <c r="N20" s="231" t="s">
        <v>127</v>
      </c>
      <c r="O20" s="224" t="s">
        <v>128</v>
      </c>
    </row>
    <row r="21" spans="1:15" ht="63">
      <c r="A21" s="247" t="s">
        <v>129</v>
      </c>
      <c r="B21" s="247" t="s">
        <v>2003</v>
      </c>
      <c r="C21" s="248" t="s">
        <v>1961</v>
      </c>
      <c r="D21" s="249" t="s">
        <v>2127</v>
      </c>
      <c r="E21" s="249" t="s">
        <v>2183</v>
      </c>
      <c r="F21" s="249"/>
      <c r="G21" s="231"/>
      <c r="H21" s="231" t="s">
        <v>2221</v>
      </c>
      <c r="I21" s="231" t="s">
        <v>2119</v>
      </c>
      <c r="J21" s="249"/>
      <c r="K21" s="249"/>
      <c r="L21" s="249"/>
      <c r="M21" s="231" t="s">
        <v>2120</v>
      </c>
      <c r="N21" s="231" t="s">
        <v>130</v>
      </c>
      <c r="O21" s="224" t="s">
        <v>131</v>
      </c>
    </row>
    <row r="22" spans="1:15" ht="173.25">
      <c r="A22" s="247" t="s">
        <v>132</v>
      </c>
      <c r="B22" s="247" t="s">
        <v>2004</v>
      </c>
      <c r="C22" s="248" t="s">
        <v>1961</v>
      </c>
      <c r="D22" s="249" t="s">
        <v>2431</v>
      </c>
      <c r="E22" s="249" t="s">
        <v>2184</v>
      </c>
      <c r="F22" s="249"/>
      <c r="G22" s="249"/>
      <c r="H22" s="249"/>
      <c r="I22" s="249" t="s">
        <v>2116</v>
      </c>
      <c r="J22" s="249"/>
      <c r="K22" s="249"/>
      <c r="L22" s="249"/>
      <c r="M22" s="231" t="s">
        <v>1132</v>
      </c>
      <c r="N22" s="231" t="s">
        <v>127</v>
      </c>
      <c r="O22" s="224" t="s">
        <v>133</v>
      </c>
    </row>
    <row r="23" spans="1:15" ht="173.25">
      <c r="A23" s="247" t="s">
        <v>134</v>
      </c>
      <c r="B23" s="247" t="s">
        <v>2005</v>
      </c>
      <c r="C23" s="248" t="s">
        <v>1961</v>
      </c>
      <c r="D23" s="249" t="s">
        <v>2431</v>
      </c>
      <c r="E23" s="249" t="s">
        <v>2184</v>
      </c>
      <c r="F23" s="249"/>
      <c r="G23" s="249"/>
      <c r="H23" s="249"/>
      <c r="I23" s="249" t="s">
        <v>2116</v>
      </c>
      <c r="J23" s="249"/>
      <c r="K23" s="249"/>
      <c r="L23" s="249"/>
      <c r="M23" s="249" t="s">
        <v>1230</v>
      </c>
      <c r="N23" s="231" t="s">
        <v>130</v>
      </c>
      <c r="O23" s="224" t="s">
        <v>131</v>
      </c>
    </row>
    <row r="24" spans="1:15" ht="63">
      <c r="A24" s="247" t="s">
        <v>2128</v>
      </c>
      <c r="B24" s="247" t="s">
        <v>2006</v>
      </c>
      <c r="C24" s="248" t="s">
        <v>1961</v>
      </c>
      <c r="D24" s="249" t="s">
        <v>2121</v>
      </c>
      <c r="E24" s="249"/>
      <c r="F24" s="249" t="s">
        <v>1782</v>
      </c>
      <c r="G24" s="249" t="s">
        <v>1357</v>
      </c>
      <c r="H24" s="249" t="s">
        <v>2222</v>
      </c>
      <c r="I24" s="249" t="s">
        <v>2126</v>
      </c>
      <c r="J24" s="249"/>
      <c r="K24" s="249"/>
      <c r="L24" s="249"/>
      <c r="M24" s="249" t="s">
        <v>2257</v>
      </c>
      <c r="N24" s="249" t="s">
        <v>135</v>
      </c>
      <c r="O24" s="256"/>
    </row>
    <row r="25" spans="1:15" ht="63">
      <c r="A25" s="247" t="s">
        <v>2129</v>
      </c>
      <c r="B25" s="247" t="s">
        <v>2007</v>
      </c>
      <c r="C25" s="248" t="s">
        <v>1961</v>
      </c>
      <c r="D25" s="249" t="s">
        <v>2121</v>
      </c>
      <c r="E25" s="249"/>
      <c r="F25" s="249" t="s">
        <v>1782</v>
      </c>
      <c r="G25" s="249" t="s">
        <v>1357</v>
      </c>
      <c r="H25" s="249" t="s">
        <v>2222</v>
      </c>
      <c r="I25" s="249" t="s">
        <v>2126</v>
      </c>
      <c r="J25" s="249"/>
      <c r="K25" s="249"/>
      <c r="L25" s="249"/>
      <c r="M25" s="231" t="s">
        <v>2258</v>
      </c>
      <c r="N25" s="231" t="s">
        <v>130</v>
      </c>
      <c r="O25" s="224" t="s">
        <v>136</v>
      </c>
    </row>
    <row r="26" spans="1:15" ht="78.75">
      <c r="A26" s="247" t="s">
        <v>137</v>
      </c>
      <c r="B26" s="247" t="s">
        <v>2008</v>
      </c>
      <c r="C26" s="253" t="s">
        <v>1965</v>
      </c>
      <c r="D26" s="249" t="s">
        <v>1947</v>
      </c>
      <c r="E26" s="249"/>
      <c r="F26" s="249"/>
      <c r="G26" s="249"/>
      <c r="H26" s="249"/>
      <c r="I26" s="249"/>
      <c r="J26" s="249"/>
      <c r="K26" s="249"/>
      <c r="L26" s="249"/>
      <c r="M26" s="231"/>
      <c r="N26" s="231"/>
      <c r="O26" s="224"/>
    </row>
    <row r="27" spans="1:15" ht="47.25">
      <c r="A27" s="247" t="s">
        <v>138</v>
      </c>
      <c r="B27" s="247" t="s">
        <v>2009</v>
      </c>
      <c r="C27" s="248" t="s">
        <v>1964</v>
      </c>
      <c r="D27" s="249" t="s">
        <v>2133</v>
      </c>
      <c r="E27" s="249" t="s">
        <v>2162</v>
      </c>
      <c r="F27" s="249"/>
      <c r="G27" s="249"/>
      <c r="H27" s="249"/>
      <c r="I27" s="249"/>
      <c r="J27" s="249"/>
      <c r="K27" s="249" t="s">
        <v>2244</v>
      </c>
      <c r="L27" s="249" t="s">
        <v>1446</v>
      </c>
      <c r="M27" s="231" t="s">
        <v>2254</v>
      </c>
      <c r="N27" s="231" t="s">
        <v>113</v>
      </c>
      <c r="O27" s="224" t="s">
        <v>2179</v>
      </c>
    </row>
    <row r="28" spans="1:15" ht="47.25">
      <c r="A28" s="247" t="s">
        <v>139</v>
      </c>
      <c r="B28" s="247" t="s">
        <v>2010</v>
      </c>
      <c r="C28" s="248" t="s">
        <v>1964</v>
      </c>
      <c r="D28" s="249" t="s">
        <v>2133</v>
      </c>
      <c r="E28" s="249" t="s">
        <v>2162</v>
      </c>
      <c r="F28" s="249"/>
      <c r="G28" s="249"/>
      <c r="H28" s="249"/>
      <c r="I28" s="249"/>
      <c r="J28" s="249"/>
      <c r="K28" s="249" t="s">
        <v>2245</v>
      </c>
      <c r="L28" s="249" t="s">
        <v>1446</v>
      </c>
      <c r="M28" s="231" t="s">
        <v>2254</v>
      </c>
      <c r="N28" s="231" t="s">
        <v>113</v>
      </c>
      <c r="O28" s="224" t="s">
        <v>2185</v>
      </c>
    </row>
    <row r="29" spans="1:15" ht="94.5">
      <c r="A29" s="247" t="s">
        <v>140</v>
      </c>
      <c r="B29" s="247" t="s">
        <v>2011</v>
      </c>
      <c r="C29" s="248" t="s">
        <v>1962</v>
      </c>
      <c r="D29" s="249" t="s">
        <v>2085</v>
      </c>
      <c r="E29" s="249" t="s">
        <v>2173</v>
      </c>
      <c r="F29" s="249"/>
      <c r="G29" s="249"/>
      <c r="H29" s="249"/>
      <c r="I29" s="249"/>
      <c r="J29" s="249"/>
      <c r="K29" s="249" t="s">
        <v>2232</v>
      </c>
      <c r="L29" s="249"/>
      <c r="M29" s="231"/>
      <c r="N29" s="231"/>
      <c r="O29" s="224"/>
    </row>
    <row r="30" spans="1:15" ht="157.5">
      <c r="A30" s="252" t="s">
        <v>141</v>
      </c>
      <c r="B30" s="252" t="s">
        <v>2012</v>
      </c>
      <c r="C30" s="248" t="s">
        <v>1962</v>
      </c>
      <c r="D30" s="249" t="s">
        <v>2086</v>
      </c>
      <c r="E30" s="249" t="s">
        <v>2173</v>
      </c>
      <c r="F30" s="249"/>
      <c r="G30" s="249" t="s">
        <v>1291</v>
      </c>
      <c r="H30" s="249" t="s">
        <v>2223</v>
      </c>
      <c r="I30" s="249" t="s">
        <v>2122</v>
      </c>
      <c r="J30" s="249" t="s">
        <v>2225</v>
      </c>
      <c r="K30" s="249" t="s">
        <v>2232</v>
      </c>
      <c r="L30" s="249" t="s">
        <v>2280</v>
      </c>
      <c r="M30" s="249" t="s">
        <v>142</v>
      </c>
      <c r="N30" s="249" t="s">
        <v>143</v>
      </c>
      <c r="O30" s="256" t="s">
        <v>144</v>
      </c>
    </row>
    <row r="31" spans="1:15" ht="78.75">
      <c r="A31" s="247" t="s">
        <v>145</v>
      </c>
      <c r="B31" s="247" t="s">
        <v>2013</v>
      </c>
      <c r="C31" s="253" t="s">
        <v>1965</v>
      </c>
      <c r="D31" s="249" t="s">
        <v>1948</v>
      </c>
      <c r="E31" s="249"/>
      <c r="F31" s="249"/>
      <c r="G31" s="249" t="s">
        <v>1180</v>
      </c>
      <c r="H31" s="249"/>
      <c r="I31" s="249"/>
      <c r="J31" s="249"/>
      <c r="K31" s="249"/>
      <c r="L31" s="249"/>
      <c r="M31" s="231" t="s">
        <v>2259</v>
      </c>
      <c r="N31" s="231" t="s">
        <v>146</v>
      </c>
      <c r="O31" s="224" t="s">
        <v>147</v>
      </c>
    </row>
    <row r="32" spans="1:15" ht="47.25">
      <c r="A32" s="247" t="s">
        <v>148</v>
      </c>
      <c r="B32" s="247" t="s">
        <v>2014</v>
      </c>
      <c r="C32" s="253" t="s">
        <v>1965</v>
      </c>
      <c r="D32" s="259" t="s">
        <v>1945</v>
      </c>
      <c r="E32" s="249" t="s">
        <v>2162</v>
      </c>
      <c r="F32" s="249"/>
      <c r="G32" s="249"/>
      <c r="H32" s="249"/>
      <c r="I32" s="249"/>
      <c r="J32" s="249"/>
      <c r="K32" s="249" t="s">
        <v>2231</v>
      </c>
      <c r="L32" s="231"/>
      <c r="M32" s="231" t="s">
        <v>2254</v>
      </c>
      <c r="N32" s="231" t="s">
        <v>149</v>
      </c>
      <c r="O32" s="224" t="s">
        <v>2186</v>
      </c>
    </row>
    <row r="33" spans="1:15" ht="47.25">
      <c r="A33" s="247" t="s">
        <v>150</v>
      </c>
      <c r="B33" s="247" t="s">
        <v>2015</v>
      </c>
      <c r="C33" s="253" t="s">
        <v>1965</v>
      </c>
      <c r="D33" s="259" t="s">
        <v>1945</v>
      </c>
      <c r="E33" s="249" t="s">
        <v>2162</v>
      </c>
      <c r="F33" s="249"/>
      <c r="G33" s="249"/>
      <c r="H33" s="249"/>
      <c r="I33" s="249"/>
      <c r="J33" s="249"/>
      <c r="K33" s="249" t="s">
        <v>2231</v>
      </c>
      <c r="L33" s="231"/>
      <c r="M33" s="231" t="s">
        <v>2254</v>
      </c>
      <c r="N33" s="231" t="s">
        <v>151</v>
      </c>
      <c r="O33" s="224" t="s">
        <v>2187</v>
      </c>
    </row>
    <row r="34" spans="1:15" ht="126">
      <c r="A34" s="247" t="s">
        <v>152</v>
      </c>
      <c r="B34" s="247" t="s">
        <v>2016</v>
      </c>
      <c r="C34" s="248" t="s">
        <v>1958</v>
      </c>
      <c r="D34" s="249" t="s">
        <v>2087</v>
      </c>
      <c r="E34" s="249" t="s">
        <v>2173</v>
      </c>
      <c r="F34" s="249"/>
      <c r="G34" s="249"/>
      <c r="H34" s="249"/>
      <c r="I34" s="249"/>
      <c r="J34" s="231"/>
      <c r="K34" s="249" t="s">
        <v>2246</v>
      </c>
      <c r="L34" s="231" t="s">
        <v>1395</v>
      </c>
      <c r="M34" s="231" t="s">
        <v>2188</v>
      </c>
      <c r="N34" s="231" t="s">
        <v>153</v>
      </c>
      <c r="O34" s="224" t="s">
        <v>2189</v>
      </c>
    </row>
    <row r="35" spans="1:15" ht="141.75">
      <c r="A35" s="247" t="s">
        <v>2153</v>
      </c>
      <c r="B35" s="247" t="s">
        <v>2017</v>
      </c>
      <c r="C35" s="248" t="s">
        <v>1961</v>
      </c>
      <c r="D35" s="249" t="s">
        <v>2088</v>
      </c>
      <c r="E35" s="249"/>
      <c r="F35" s="249"/>
      <c r="G35" s="249"/>
      <c r="H35" s="249"/>
      <c r="I35" s="249"/>
      <c r="J35" s="249"/>
      <c r="K35" s="249"/>
      <c r="L35" s="231"/>
      <c r="M35" s="231" t="s">
        <v>2190</v>
      </c>
      <c r="N35" s="231" t="s">
        <v>154</v>
      </c>
      <c r="O35" s="224" t="s">
        <v>2191</v>
      </c>
    </row>
    <row r="36" spans="1:15" ht="63">
      <c r="A36" s="247" t="s">
        <v>155</v>
      </c>
      <c r="B36" s="247" t="s">
        <v>2018</v>
      </c>
      <c r="C36" s="248" t="s">
        <v>1966</v>
      </c>
      <c r="D36" s="249" t="s">
        <v>2089</v>
      </c>
      <c r="E36" s="260"/>
      <c r="F36" s="249"/>
      <c r="G36" s="249"/>
      <c r="H36" s="249"/>
      <c r="I36" s="249"/>
      <c r="J36" s="249"/>
      <c r="K36" s="249"/>
      <c r="L36" s="231"/>
      <c r="M36" s="231"/>
      <c r="N36" s="231" t="s">
        <v>156</v>
      </c>
      <c r="O36" s="224"/>
    </row>
    <row r="37" spans="1:15" ht="63">
      <c r="A37" s="247" t="s">
        <v>157</v>
      </c>
      <c r="B37" s="247" t="s">
        <v>2019</v>
      </c>
      <c r="C37" s="248" t="s">
        <v>1966</v>
      </c>
      <c r="D37" s="249" t="s">
        <v>2089</v>
      </c>
      <c r="E37" s="249"/>
      <c r="F37" s="249"/>
      <c r="G37" s="249"/>
      <c r="H37" s="249"/>
      <c r="I37" s="249"/>
      <c r="J37" s="249"/>
      <c r="K37" s="249"/>
      <c r="L37" s="231"/>
      <c r="M37" s="231"/>
      <c r="N37" s="231" t="s">
        <v>158</v>
      </c>
      <c r="O37" s="224"/>
    </row>
    <row r="38" spans="1:15" ht="94.5">
      <c r="A38" s="247" t="s">
        <v>159</v>
      </c>
      <c r="B38" s="247" t="s">
        <v>2020</v>
      </c>
      <c r="C38" s="253" t="s">
        <v>1969</v>
      </c>
      <c r="D38" s="249" t="s">
        <v>2099</v>
      </c>
      <c r="E38" s="249" t="s">
        <v>2162</v>
      </c>
      <c r="F38" s="249"/>
      <c r="G38" s="249"/>
      <c r="H38" s="249"/>
      <c r="I38" s="249"/>
      <c r="J38" s="249"/>
      <c r="K38" s="249" t="s">
        <v>2432</v>
      </c>
      <c r="L38" s="231"/>
      <c r="M38" s="231" t="s">
        <v>2260</v>
      </c>
      <c r="N38" s="231" t="s">
        <v>149</v>
      </c>
      <c r="O38" s="224" t="s">
        <v>2192</v>
      </c>
    </row>
    <row r="39" spans="1:15" ht="63">
      <c r="A39" s="247" t="s">
        <v>160</v>
      </c>
      <c r="B39" s="247" t="s">
        <v>2021</v>
      </c>
      <c r="C39" s="253" t="s">
        <v>1969</v>
      </c>
      <c r="D39" s="249" t="s">
        <v>2100</v>
      </c>
      <c r="E39" s="249" t="s">
        <v>2163</v>
      </c>
      <c r="F39" s="249"/>
      <c r="G39" s="249"/>
      <c r="H39" s="249"/>
      <c r="I39" s="249"/>
      <c r="J39" s="249"/>
      <c r="K39" s="249" t="s">
        <v>2233</v>
      </c>
      <c r="L39" s="231"/>
      <c r="M39" s="231" t="s">
        <v>2261</v>
      </c>
      <c r="N39" s="231" t="s">
        <v>161</v>
      </c>
      <c r="O39" s="224" t="s">
        <v>2193</v>
      </c>
    </row>
    <row r="40" spans="1:15" ht="63">
      <c r="A40" s="247" t="s">
        <v>162</v>
      </c>
      <c r="B40" s="247" t="s">
        <v>2022</v>
      </c>
      <c r="C40" s="253" t="s">
        <v>1969</v>
      </c>
      <c r="D40" s="249" t="s">
        <v>2100</v>
      </c>
      <c r="E40" s="249" t="s">
        <v>2163</v>
      </c>
      <c r="F40" s="249"/>
      <c r="G40" s="249"/>
      <c r="H40" s="249"/>
      <c r="I40" s="249"/>
      <c r="J40" s="249"/>
      <c r="K40" s="249" t="s">
        <v>2233</v>
      </c>
      <c r="L40" s="231"/>
      <c r="M40" s="231" t="s">
        <v>2261</v>
      </c>
      <c r="N40" s="231" t="s">
        <v>151</v>
      </c>
      <c r="O40" s="224" t="s">
        <v>136</v>
      </c>
    </row>
    <row r="41" spans="1:15" ht="141.75">
      <c r="A41" s="247" t="s">
        <v>163</v>
      </c>
      <c r="B41" s="247" t="s">
        <v>2023</v>
      </c>
      <c r="C41" s="248" t="s">
        <v>1965</v>
      </c>
      <c r="D41" s="249" t="s">
        <v>2145</v>
      </c>
      <c r="E41" s="249"/>
      <c r="F41" s="249"/>
      <c r="G41" s="249"/>
      <c r="H41" s="249"/>
      <c r="I41" s="249"/>
      <c r="J41" s="249"/>
      <c r="K41" s="249"/>
      <c r="L41" s="231"/>
      <c r="M41" s="231" t="s">
        <v>2194</v>
      </c>
      <c r="N41" s="231" t="s">
        <v>164</v>
      </c>
      <c r="O41" s="224" t="s">
        <v>2179</v>
      </c>
    </row>
    <row r="42" spans="1:15" ht="110.25">
      <c r="A42" s="247" t="s">
        <v>165</v>
      </c>
      <c r="B42" s="247" t="s">
        <v>2024</v>
      </c>
      <c r="C42" s="248" t="s">
        <v>1966</v>
      </c>
      <c r="D42" s="249" t="s">
        <v>2123</v>
      </c>
      <c r="E42" s="249"/>
      <c r="F42" s="249"/>
      <c r="G42" s="249"/>
      <c r="H42" s="249"/>
      <c r="I42" s="249"/>
      <c r="J42" s="249"/>
      <c r="K42" s="249"/>
      <c r="L42" s="231"/>
      <c r="M42" s="231" t="s">
        <v>2154</v>
      </c>
      <c r="N42" s="231"/>
      <c r="O42" s="224" t="s">
        <v>2195</v>
      </c>
    </row>
    <row r="43" spans="1:15" ht="110.25">
      <c r="A43" s="247" t="s">
        <v>166</v>
      </c>
      <c r="B43" s="247" t="s">
        <v>2025</v>
      </c>
      <c r="C43" s="248" t="s">
        <v>1966</v>
      </c>
      <c r="D43" s="249" t="s">
        <v>2123</v>
      </c>
      <c r="E43" s="249"/>
      <c r="F43" s="249"/>
      <c r="G43" s="249"/>
      <c r="H43" s="249"/>
      <c r="I43" s="249"/>
      <c r="J43" s="249"/>
      <c r="K43" s="249"/>
      <c r="L43" s="231"/>
      <c r="M43" s="231" t="s">
        <v>2155</v>
      </c>
      <c r="N43" s="231"/>
      <c r="O43" s="224"/>
    </row>
    <row r="44" spans="1:15" ht="236.25">
      <c r="A44" s="252" t="s">
        <v>167</v>
      </c>
      <c r="B44" s="252" t="s">
        <v>2026</v>
      </c>
      <c r="C44" s="248" t="s">
        <v>1971</v>
      </c>
      <c r="D44" s="249" t="s">
        <v>2090</v>
      </c>
      <c r="E44" s="249" t="s">
        <v>2433</v>
      </c>
      <c r="F44" s="249"/>
      <c r="G44" s="249"/>
      <c r="H44" s="249"/>
      <c r="I44" s="249"/>
      <c r="J44" s="249" t="s">
        <v>2226</v>
      </c>
      <c r="K44" s="249"/>
      <c r="L44" s="231"/>
      <c r="M44" s="231" t="s">
        <v>2134</v>
      </c>
      <c r="N44" s="231" t="s">
        <v>2135</v>
      </c>
      <c r="O44" s="224" t="s">
        <v>2196</v>
      </c>
    </row>
    <row r="45" spans="1:15" ht="110.25">
      <c r="A45" s="252" t="s">
        <v>169</v>
      </c>
      <c r="B45" s="252" t="s">
        <v>2027</v>
      </c>
      <c r="C45" s="248" t="s">
        <v>1972</v>
      </c>
      <c r="D45" s="249" t="s">
        <v>1942</v>
      </c>
      <c r="E45" s="249" t="s">
        <v>2174</v>
      </c>
      <c r="F45" s="249"/>
      <c r="G45" s="249"/>
      <c r="H45" s="249"/>
      <c r="I45" s="249"/>
      <c r="J45" s="249" t="s">
        <v>2227</v>
      </c>
      <c r="K45" s="249"/>
      <c r="L45" s="231"/>
      <c r="M45" s="231"/>
      <c r="N45" s="231"/>
      <c r="O45" s="224"/>
    </row>
    <row r="46" spans="1:15" ht="63">
      <c r="A46" s="247" t="s">
        <v>170</v>
      </c>
      <c r="B46" s="247" t="s">
        <v>2028</v>
      </c>
      <c r="C46" s="253" t="s">
        <v>1969</v>
      </c>
      <c r="D46" s="249" t="s">
        <v>1949</v>
      </c>
      <c r="E46" s="249" t="s">
        <v>2162</v>
      </c>
      <c r="F46" s="249"/>
      <c r="G46" s="249"/>
      <c r="H46" s="249"/>
      <c r="I46" s="249"/>
      <c r="J46" s="249"/>
      <c r="K46" s="249" t="s">
        <v>2231</v>
      </c>
      <c r="L46" s="231"/>
      <c r="M46" s="231" t="s">
        <v>2262</v>
      </c>
      <c r="N46" s="231" t="s">
        <v>171</v>
      </c>
      <c r="O46" s="224" t="s">
        <v>2197</v>
      </c>
    </row>
    <row r="47" spans="1:15" ht="110.25">
      <c r="A47" s="247" t="s">
        <v>172</v>
      </c>
      <c r="B47" s="247" t="s">
        <v>2029</v>
      </c>
      <c r="C47" s="253" t="s">
        <v>1965</v>
      </c>
      <c r="D47" s="249" t="s">
        <v>1950</v>
      </c>
      <c r="E47" s="249" t="s">
        <v>2159</v>
      </c>
      <c r="F47" s="249"/>
      <c r="G47" s="249"/>
      <c r="H47" s="249"/>
      <c r="I47" s="249"/>
      <c r="J47" s="249"/>
      <c r="K47" s="249" t="s">
        <v>2229</v>
      </c>
      <c r="L47" s="231"/>
      <c r="M47" s="231" t="s">
        <v>2263</v>
      </c>
      <c r="N47" s="231" t="s">
        <v>173</v>
      </c>
      <c r="O47" s="224" t="s">
        <v>174</v>
      </c>
    </row>
    <row r="48" spans="1:15" ht="189">
      <c r="A48" s="247" t="s">
        <v>175</v>
      </c>
      <c r="B48" s="247" t="s">
        <v>2030</v>
      </c>
      <c r="C48" s="248" t="s">
        <v>1973</v>
      </c>
      <c r="D48" s="249" t="s">
        <v>2091</v>
      </c>
      <c r="E48" s="249" t="s">
        <v>2434</v>
      </c>
      <c r="F48" s="249"/>
      <c r="G48" s="249"/>
      <c r="H48" s="249" t="s">
        <v>2224</v>
      </c>
      <c r="I48" s="249" t="s">
        <v>2122</v>
      </c>
      <c r="J48" s="249" t="s">
        <v>2225</v>
      </c>
      <c r="K48" s="249" t="s">
        <v>2247</v>
      </c>
      <c r="L48" s="231" t="s">
        <v>2281</v>
      </c>
      <c r="M48" s="231" t="s">
        <v>1244</v>
      </c>
      <c r="N48" s="231" t="s">
        <v>176</v>
      </c>
      <c r="O48" s="224" t="s">
        <v>177</v>
      </c>
    </row>
    <row r="49" spans="1:15" ht="47.25">
      <c r="A49" s="247" t="s">
        <v>178</v>
      </c>
      <c r="B49" s="247" t="s">
        <v>2031</v>
      </c>
      <c r="C49" s="248" t="s">
        <v>1966</v>
      </c>
      <c r="D49" s="249" t="s">
        <v>2092</v>
      </c>
      <c r="E49" s="249"/>
      <c r="F49" s="249"/>
      <c r="G49" s="249"/>
      <c r="H49" s="249"/>
      <c r="I49" s="249"/>
      <c r="J49" s="249" t="s">
        <v>1808</v>
      </c>
      <c r="K49" s="255" t="s">
        <v>2240</v>
      </c>
      <c r="L49" s="231" t="s">
        <v>2277</v>
      </c>
      <c r="M49" s="231"/>
      <c r="N49" s="231" t="s">
        <v>179</v>
      </c>
      <c r="O49" s="224" t="s">
        <v>2198</v>
      </c>
    </row>
    <row r="50" spans="1:15" ht="47.25">
      <c r="A50" s="247" t="s">
        <v>180</v>
      </c>
      <c r="B50" s="247" t="s">
        <v>2032</v>
      </c>
      <c r="C50" s="248" t="s">
        <v>1966</v>
      </c>
      <c r="D50" s="249" t="s">
        <v>2092</v>
      </c>
      <c r="E50" s="249"/>
      <c r="F50" s="249"/>
      <c r="G50" s="249"/>
      <c r="H50" s="249"/>
      <c r="I50" s="249"/>
      <c r="J50" s="249" t="s">
        <v>1808</v>
      </c>
      <c r="K50" s="255" t="s">
        <v>2240</v>
      </c>
      <c r="L50" s="231"/>
      <c r="M50" s="231"/>
      <c r="N50" s="231" t="s">
        <v>181</v>
      </c>
      <c r="O50" s="224" t="s">
        <v>2199</v>
      </c>
    </row>
    <row r="51" spans="1:15" ht="47.25">
      <c r="A51" s="247" t="s">
        <v>182</v>
      </c>
      <c r="B51" s="247" t="s">
        <v>2033</v>
      </c>
      <c r="C51" s="253"/>
      <c r="D51" s="249" t="s">
        <v>1951</v>
      </c>
      <c r="E51" s="249"/>
      <c r="F51" s="249"/>
      <c r="G51" s="249"/>
      <c r="H51" s="231"/>
      <c r="I51" s="249"/>
      <c r="J51" s="231"/>
      <c r="K51" s="249" t="s">
        <v>2248</v>
      </c>
      <c r="L51" s="231"/>
      <c r="M51" s="231" t="s">
        <v>1358</v>
      </c>
      <c r="N51" s="231" t="s">
        <v>183</v>
      </c>
      <c r="O51" s="224" t="s">
        <v>2200</v>
      </c>
    </row>
    <row r="52" spans="1:15" ht="78.75">
      <c r="A52" s="247" t="s">
        <v>184</v>
      </c>
      <c r="B52" s="247" t="s">
        <v>2034</v>
      </c>
      <c r="C52" s="248" t="s">
        <v>1958</v>
      </c>
      <c r="D52" s="249" t="s">
        <v>2124</v>
      </c>
      <c r="E52" s="249"/>
      <c r="F52" s="249"/>
      <c r="G52" s="231" t="s">
        <v>1357</v>
      </c>
      <c r="H52" s="249" t="s">
        <v>2222</v>
      </c>
      <c r="I52" s="231" t="s">
        <v>2126</v>
      </c>
      <c r="J52" s="231"/>
      <c r="K52" s="249"/>
      <c r="L52" s="249"/>
      <c r="M52" s="231" t="s">
        <v>2264</v>
      </c>
      <c r="N52" s="231" t="s">
        <v>110</v>
      </c>
      <c r="O52" s="224" t="s">
        <v>111</v>
      </c>
    </row>
    <row r="53" spans="1:15" ht="110.25">
      <c r="A53" s="247" t="s">
        <v>185</v>
      </c>
      <c r="B53" s="247" t="s">
        <v>2035</v>
      </c>
      <c r="C53" s="248" t="s">
        <v>1965</v>
      </c>
      <c r="D53" s="249" t="s">
        <v>2136</v>
      </c>
      <c r="E53" s="249" t="s">
        <v>2159</v>
      </c>
      <c r="F53" s="249"/>
      <c r="G53" s="231"/>
      <c r="H53" s="231"/>
      <c r="I53" s="231" t="s">
        <v>2144</v>
      </c>
      <c r="J53" s="231"/>
      <c r="K53" s="255" t="s">
        <v>2249</v>
      </c>
      <c r="L53" s="231"/>
      <c r="M53" s="231" t="s">
        <v>2265</v>
      </c>
      <c r="N53" s="231" t="s">
        <v>179</v>
      </c>
      <c r="O53" s="224" t="s">
        <v>2201</v>
      </c>
    </row>
    <row r="54" spans="1:15" ht="110.25">
      <c r="A54" s="247" t="s">
        <v>186</v>
      </c>
      <c r="B54" s="247" t="s">
        <v>2036</v>
      </c>
      <c r="C54" s="248" t="s">
        <v>1965</v>
      </c>
      <c r="D54" s="249" t="s">
        <v>2136</v>
      </c>
      <c r="E54" s="249" t="s">
        <v>2159</v>
      </c>
      <c r="F54" s="249"/>
      <c r="G54" s="231"/>
      <c r="H54" s="231"/>
      <c r="I54" s="231" t="s">
        <v>2144</v>
      </c>
      <c r="J54" s="231"/>
      <c r="K54" s="255" t="s">
        <v>2249</v>
      </c>
      <c r="L54" s="231"/>
      <c r="M54" s="231"/>
      <c r="N54" s="231" t="s">
        <v>181</v>
      </c>
      <c r="O54" s="224"/>
    </row>
    <row r="55" spans="1:15" ht="94.5">
      <c r="A55" s="247" t="s">
        <v>187</v>
      </c>
      <c r="B55" s="247" t="s">
        <v>2037</v>
      </c>
      <c r="C55" s="248" t="s">
        <v>1965</v>
      </c>
      <c r="D55" s="249" t="s">
        <v>1952</v>
      </c>
      <c r="E55" s="249" t="s">
        <v>2159</v>
      </c>
      <c r="F55" s="249"/>
      <c r="G55" s="231"/>
      <c r="H55" s="231"/>
      <c r="I55" s="231"/>
      <c r="J55" s="231"/>
      <c r="K55" s="255" t="s">
        <v>2250</v>
      </c>
      <c r="L55" s="231"/>
      <c r="M55" s="231" t="s">
        <v>2259</v>
      </c>
      <c r="N55" s="231" t="s">
        <v>156</v>
      </c>
      <c r="O55" s="224" t="s">
        <v>188</v>
      </c>
    </row>
    <row r="56" spans="1:15" ht="47.25">
      <c r="A56" s="247" t="s">
        <v>189</v>
      </c>
      <c r="B56" s="247" t="s">
        <v>2038</v>
      </c>
      <c r="C56" s="248" t="s">
        <v>1974</v>
      </c>
      <c r="D56" s="249" t="s">
        <v>1943</v>
      </c>
      <c r="E56" s="249" t="s">
        <v>2173</v>
      </c>
      <c r="F56" s="257" t="s">
        <v>1769</v>
      </c>
      <c r="G56" s="249"/>
      <c r="H56" s="249" t="s">
        <v>2224</v>
      </c>
      <c r="I56" s="249" t="s">
        <v>2146</v>
      </c>
      <c r="J56" s="249"/>
      <c r="K56" s="249" t="s">
        <v>2234</v>
      </c>
      <c r="L56" s="249"/>
      <c r="M56" s="249"/>
      <c r="N56" s="249"/>
      <c r="O56" s="256"/>
    </row>
    <row r="57" spans="1:15" ht="157.5">
      <c r="A57" s="247" t="s">
        <v>190</v>
      </c>
      <c r="B57" s="247" t="s">
        <v>2039</v>
      </c>
      <c r="C57" s="248" t="s">
        <v>1974</v>
      </c>
      <c r="D57" s="231" t="s">
        <v>2130</v>
      </c>
      <c r="E57" s="231" t="s">
        <v>2173</v>
      </c>
      <c r="F57" s="231"/>
      <c r="G57" s="231"/>
      <c r="H57" s="231" t="s">
        <v>2221</v>
      </c>
      <c r="I57" s="231"/>
      <c r="J57" s="231"/>
      <c r="K57" s="249" t="s">
        <v>2234</v>
      </c>
      <c r="L57" s="231"/>
      <c r="M57" s="231" t="s">
        <v>2156</v>
      </c>
      <c r="N57" s="231" t="s">
        <v>2157</v>
      </c>
      <c r="O57" s="224" t="s">
        <v>191</v>
      </c>
    </row>
    <row r="58" spans="1:15" ht="110.25">
      <c r="A58" s="247" t="s">
        <v>192</v>
      </c>
      <c r="B58" s="247" t="s">
        <v>2040</v>
      </c>
      <c r="C58" s="248" t="s">
        <v>1958</v>
      </c>
      <c r="D58" s="249" t="s">
        <v>2101</v>
      </c>
      <c r="E58" s="231" t="s">
        <v>2164</v>
      </c>
      <c r="F58" s="231"/>
      <c r="G58" s="231" t="s">
        <v>1133</v>
      </c>
      <c r="H58" s="231"/>
      <c r="I58" s="231" t="s">
        <v>2116</v>
      </c>
      <c r="J58" s="231"/>
      <c r="K58" s="255" t="s">
        <v>2435</v>
      </c>
      <c r="L58" s="231"/>
      <c r="M58" s="231" t="s">
        <v>2436</v>
      </c>
      <c r="N58" s="231" t="s">
        <v>193</v>
      </c>
      <c r="O58" s="224" t="s">
        <v>2197</v>
      </c>
    </row>
    <row r="59" spans="1:15" ht="94.5">
      <c r="A59" s="252" t="s">
        <v>194</v>
      </c>
      <c r="B59" s="252" t="s">
        <v>2041</v>
      </c>
      <c r="C59" s="253"/>
      <c r="D59" s="231" t="s">
        <v>2093</v>
      </c>
      <c r="E59" s="231" t="s">
        <v>2161</v>
      </c>
      <c r="F59" s="231"/>
      <c r="G59" s="231" t="s">
        <v>1180</v>
      </c>
      <c r="H59" s="231"/>
      <c r="I59" s="231"/>
      <c r="J59" s="231"/>
      <c r="K59" s="249" t="s">
        <v>2230</v>
      </c>
      <c r="L59" s="231"/>
      <c r="M59" s="231" t="s">
        <v>1359</v>
      </c>
      <c r="N59" s="231" t="s">
        <v>195</v>
      </c>
      <c r="O59" s="224" t="s">
        <v>2202</v>
      </c>
    </row>
    <row r="60" spans="1:15" ht="94.5">
      <c r="A60" s="247" t="s">
        <v>196</v>
      </c>
      <c r="B60" s="247" t="s">
        <v>2042</v>
      </c>
      <c r="C60" s="248" t="s">
        <v>1960</v>
      </c>
      <c r="D60" s="231" t="s">
        <v>1953</v>
      </c>
      <c r="E60" s="231" t="s">
        <v>2162</v>
      </c>
      <c r="F60" s="231"/>
      <c r="G60" s="231"/>
      <c r="H60" s="231"/>
      <c r="I60" s="231"/>
      <c r="J60" s="231"/>
      <c r="K60" s="255" t="s">
        <v>2241</v>
      </c>
      <c r="L60" s="231"/>
      <c r="M60" s="231"/>
      <c r="N60" s="231" t="s">
        <v>179</v>
      </c>
      <c r="O60" s="224"/>
    </row>
    <row r="61" spans="1:15" ht="47.25">
      <c r="A61" s="247" t="s">
        <v>197</v>
      </c>
      <c r="B61" s="247" t="s">
        <v>2043</v>
      </c>
      <c r="C61" s="248" t="s">
        <v>1960</v>
      </c>
      <c r="D61" s="231" t="s">
        <v>2102</v>
      </c>
      <c r="E61" s="231" t="s">
        <v>2162</v>
      </c>
      <c r="F61" s="231"/>
      <c r="G61" s="231"/>
      <c r="H61" s="231"/>
      <c r="I61" s="231"/>
      <c r="J61" s="231"/>
      <c r="K61" s="249" t="s">
        <v>2231</v>
      </c>
      <c r="L61" s="231"/>
      <c r="M61" s="231"/>
      <c r="N61" s="231" t="s">
        <v>156</v>
      </c>
      <c r="O61" s="224" t="s">
        <v>198</v>
      </c>
    </row>
    <row r="62" spans="1:15" ht="141.75">
      <c r="A62" s="247" t="s">
        <v>2170</v>
      </c>
      <c r="B62" s="247" t="s">
        <v>2044</v>
      </c>
      <c r="C62" s="253"/>
      <c r="D62" s="231" t="s">
        <v>1945</v>
      </c>
      <c r="E62" s="231" t="s">
        <v>2171</v>
      </c>
      <c r="F62" s="231"/>
      <c r="G62" s="231"/>
      <c r="H62" s="231"/>
      <c r="I62" s="231"/>
      <c r="J62" s="231"/>
      <c r="K62" s="249" t="s">
        <v>2235</v>
      </c>
      <c r="L62" s="231"/>
      <c r="M62" s="231" t="s">
        <v>2283</v>
      </c>
      <c r="N62" s="231" t="s">
        <v>199</v>
      </c>
      <c r="O62" s="224" t="s">
        <v>2203</v>
      </c>
    </row>
    <row r="63" spans="1:15" ht="47.25">
      <c r="A63" s="247" t="s">
        <v>200</v>
      </c>
      <c r="B63" s="247" t="s">
        <v>2045</v>
      </c>
      <c r="C63" s="248" t="s">
        <v>1960</v>
      </c>
      <c r="D63" s="231" t="s">
        <v>2103</v>
      </c>
      <c r="E63" s="231" t="s">
        <v>2162</v>
      </c>
      <c r="F63" s="231"/>
      <c r="G63" s="231"/>
      <c r="H63" s="231"/>
      <c r="I63" s="231"/>
      <c r="J63" s="231"/>
      <c r="K63" s="249" t="s">
        <v>2231</v>
      </c>
      <c r="L63" s="231"/>
      <c r="M63" s="231" t="s">
        <v>2266</v>
      </c>
      <c r="N63" s="231" t="s">
        <v>179</v>
      </c>
      <c r="O63" s="224"/>
    </row>
    <row r="64" spans="1:15" ht="110.25">
      <c r="A64" s="247" t="s">
        <v>201</v>
      </c>
      <c r="B64" s="247" t="s">
        <v>2046</v>
      </c>
      <c r="C64" s="248" t="s">
        <v>1965</v>
      </c>
      <c r="D64" s="231" t="s">
        <v>2147</v>
      </c>
      <c r="E64" s="231" t="s">
        <v>2162</v>
      </c>
      <c r="F64" s="231"/>
      <c r="G64" s="231" t="s">
        <v>1231</v>
      </c>
      <c r="H64" s="231"/>
      <c r="I64" s="231"/>
      <c r="J64" s="231"/>
      <c r="K64" s="255" t="s">
        <v>2437</v>
      </c>
      <c r="L64" s="231"/>
      <c r="M64" s="231" t="s">
        <v>1134</v>
      </c>
      <c r="N64" s="231" t="s">
        <v>202</v>
      </c>
      <c r="O64" s="224" t="s">
        <v>2204</v>
      </c>
    </row>
    <row r="65" spans="1:15" ht="94.5">
      <c r="A65" s="247" t="s">
        <v>203</v>
      </c>
      <c r="B65" s="247" t="s">
        <v>2047</v>
      </c>
      <c r="C65" s="248" t="s">
        <v>1960</v>
      </c>
      <c r="D65" s="231" t="s">
        <v>2104</v>
      </c>
      <c r="E65" s="231"/>
      <c r="F65" s="231"/>
      <c r="G65" s="231"/>
      <c r="H65" s="231" t="s">
        <v>2222</v>
      </c>
      <c r="I65" s="231"/>
      <c r="J65" s="231"/>
      <c r="K65" s="249"/>
      <c r="L65" s="231"/>
      <c r="M65" s="231" t="s">
        <v>204</v>
      </c>
      <c r="N65" s="231"/>
      <c r="O65" s="224" t="s">
        <v>205</v>
      </c>
    </row>
    <row r="66" spans="1:15" ht="94.5">
      <c r="A66" s="247" t="s">
        <v>206</v>
      </c>
      <c r="B66" s="247" t="s">
        <v>2048</v>
      </c>
      <c r="C66" s="248" t="s">
        <v>1975</v>
      </c>
      <c r="D66" s="249" t="s">
        <v>2137</v>
      </c>
      <c r="E66" s="249"/>
      <c r="F66" s="249" t="s">
        <v>1732</v>
      </c>
      <c r="G66" s="249"/>
      <c r="H66" s="231"/>
      <c r="I66" s="249"/>
      <c r="J66" s="249"/>
      <c r="K66" s="249" t="s">
        <v>2438</v>
      </c>
      <c r="L66" s="249"/>
      <c r="M66" s="249"/>
      <c r="N66" s="249" t="s">
        <v>207</v>
      </c>
      <c r="O66" s="256"/>
    </row>
    <row r="67" spans="1:15" ht="141.75">
      <c r="A67" s="247" t="s">
        <v>208</v>
      </c>
      <c r="B67" s="247" t="s">
        <v>2049</v>
      </c>
      <c r="C67" s="248" t="s">
        <v>1965</v>
      </c>
      <c r="D67" s="249" t="s">
        <v>2145</v>
      </c>
      <c r="E67" s="231"/>
      <c r="F67" s="231"/>
      <c r="G67" s="231"/>
      <c r="H67" s="231"/>
      <c r="I67" s="231"/>
      <c r="J67" s="231"/>
      <c r="K67" s="249"/>
      <c r="L67" s="231"/>
      <c r="M67" s="231"/>
      <c r="N67" s="231"/>
      <c r="O67" s="224"/>
    </row>
    <row r="68" spans="1:15" ht="141.75">
      <c r="A68" s="252" t="s">
        <v>209</v>
      </c>
      <c r="B68" s="252" t="s">
        <v>2050</v>
      </c>
      <c r="C68" s="248" t="s">
        <v>1970</v>
      </c>
      <c r="D68" s="249" t="s">
        <v>2131</v>
      </c>
      <c r="E68" s="231" t="s">
        <v>2564</v>
      </c>
      <c r="F68" s="231"/>
      <c r="G68" s="249"/>
      <c r="H68" s="231"/>
      <c r="I68" s="249"/>
      <c r="J68" s="231"/>
      <c r="K68" s="249" t="s">
        <v>2565</v>
      </c>
      <c r="L68" s="231"/>
      <c r="M68" s="231" t="s">
        <v>2172</v>
      </c>
      <c r="N68" s="231" t="s">
        <v>210</v>
      </c>
      <c r="O68" s="224" t="s">
        <v>2205</v>
      </c>
    </row>
    <row r="69" spans="1:15" ht="110.25">
      <c r="A69" s="252" t="s">
        <v>2132</v>
      </c>
      <c r="B69" s="252" t="s">
        <v>2051</v>
      </c>
      <c r="C69" s="248" t="s">
        <v>1958</v>
      </c>
      <c r="D69" s="249" t="s">
        <v>2094</v>
      </c>
      <c r="E69" s="231" t="s">
        <v>2564</v>
      </c>
      <c r="F69" s="231"/>
      <c r="G69" s="231"/>
      <c r="H69" s="231" t="s">
        <v>2222</v>
      </c>
      <c r="I69" s="231" t="s">
        <v>2126</v>
      </c>
      <c r="J69" s="231"/>
      <c r="K69" s="249" t="s">
        <v>2565</v>
      </c>
      <c r="L69" s="231"/>
      <c r="M69" s="231" t="s">
        <v>1163</v>
      </c>
      <c r="N69" s="231" t="s">
        <v>210</v>
      </c>
      <c r="O69" s="224" t="s">
        <v>2205</v>
      </c>
    </row>
    <row r="70" spans="1:15" ht="189">
      <c r="A70" s="252" t="s">
        <v>211</v>
      </c>
      <c r="B70" s="252" t="s">
        <v>2052</v>
      </c>
      <c r="C70" s="248" t="s">
        <v>1976</v>
      </c>
      <c r="D70" s="249" t="s">
        <v>2148</v>
      </c>
      <c r="E70" s="249" t="s">
        <v>2175</v>
      </c>
      <c r="F70" s="249"/>
      <c r="G70" s="249"/>
      <c r="H70" s="249"/>
      <c r="I70" s="249"/>
      <c r="J70" s="249"/>
      <c r="K70" s="261" t="s">
        <v>2236</v>
      </c>
      <c r="L70" s="249"/>
      <c r="M70" s="249"/>
      <c r="N70" s="231" t="s">
        <v>2439</v>
      </c>
      <c r="O70" s="256"/>
    </row>
    <row r="71" spans="1:15" ht="110.25">
      <c r="A71" s="252" t="s">
        <v>212</v>
      </c>
      <c r="B71" s="252" t="s">
        <v>2053</v>
      </c>
      <c r="C71" s="248" t="s">
        <v>1977</v>
      </c>
      <c r="D71" s="231" t="s">
        <v>2105</v>
      </c>
      <c r="E71" s="231" t="s">
        <v>2173</v>
      </c>
      <c r="F71" s="231" t="s">
        <v>1732</v>
      </c>
      <c r="G71" s="231"/>
      <c r="H71" s="231"/>
      <c r="I71" s="231"/>
      <c r="J71" s="249"/>
      <c r="K71" s="261" t="s">
        <v>2234</v>
      </c>
      <c r="L71" s="231"/>
      <c r="M71" s="231"/>
      <c r="N71" s="231"/>
      <c r="O71" s="224"/>
    </row>
    <row r="72" spans="1:15" ht="189">
      <c r="A72" s="247" t="s">
        <v>213</v>
      </c>
      <c r="B72" s="247" t="s">
        <v>2054</v>
      </c>
      <c r="C72" s="248" t="s">
        <v>1963</v>
      </c>
      <c r="D72" s="249" t="s">
        <v>2106</v>
      </c>
      <c r="E72" s="249" t="s">
        <v>2162</v>
      </c>
      <c r="F72" s="249"/>
      <c r="G72" s="249" t="s">
        <v>1231</v>
      </c>
      <c r="H72" s="249" t="s">
        <v>2224</v>
      </c>
      <c r="I72" s="249" t="s">
        <v>2122</v>
      </c>
      <c r="J72" s="249" t="s">
        <v>2227</v>
      </c>
      <c r="K72" s="261" t="s">
        <v>2231</v>
      </c>
      <c r="L72" s="249" t="s">
        <v>2280</v>
      </c>
      <c r="M72" s="249" t="s">
        <v>1232</v>
      </c>
      <c r="N72" s="249" t="s">
        <v>143</v>
      </c>
      <c r="O72" s="256"/>
    </row>
    <row r="73" spans="1:15" ht="78.75">
      <c r="A73" s="247" t="s">
        <v>214</v>
      </c>
      <c r="B73" s="247" t="s">
        <v>2055</v>
      </c>
      <c r="C73" s="248" t="s">
        <v>1960</v>
      </c>
      <c r="D73" s="249" t="s">
        <v>1954</v>
      </c>
      <c r="E73" s="249"/>
      <c r="F73" s="249" t="s">
        <v>1732</v>
      </c>
      <c r="G73" s="249"/>
      <c r="H73" s="231" t="s">
        <v>2222</v>
      </c>
      <c r="I73" s="249"/>
      <c r="J73" s="249"/>
      <c r="K73" s="249" t="s">
        <v>2438</v>
      </c>
      <c r="L73" s="249"/>
      <c r="M73" s="249"/>
      <c r="N73" s="249"/>
      <c r="O73" s="256"/>
    </row>
    <row r="74" spans="1:15" ht="299.25">
      <c r="A74" s="252" t="s">
        <v>215</v>
      </c>
      <c r="B74" s="252" t="s">
        <v>2056</v>
      </c>
      <c r="C74" s="248" t="s">
        <v>1977</v>
      </c>
      <c r="D74" s="231" t="s">
        <v>2440</v>
      </c>
      <c r="E74" s="231" t="s">
        <v>2173</v>
      </c>
      <c r="F74" s="231"/>
      <c r="G74" s="231"/>
      <c r="H74" s="231"/>
      <c r="I74" s="231"/>
      <c r="J74" s="231"/>
      <c r="K74" s="249" t="s">
        <v>2234</v>
      </c>
      <c r="L74" s="231" t="s">
        <v>1609</v>
      </c>
      <c r="M74" s="231" t="s">
        <v>2287</v>
      </c>
      <c r="N74" s="231" t="s">
        <v>2138</v>
      </c>
      <c r="O74" s="231" t="s">
        <v>2139</v>
      </c>
    </row>
    <row r="75" spans="1:15" ht="110.25">
      <c r="A75" s="247" t="s">
        <v>216</v>
      </c>
      <c r="B75" s="247" t="s">
        <v>2057</v>
      </c>
      <c r="C75" s="248" t="s">
        <v>1960</v>
      </c>
      <c r="D75" s="231" t="s">
        <v>1955</v>
      </c>
      <c r="E75" s="231"/>
      <c r="F75" s="231"/>
      <c r="G75" s="231"/>
      <c r="H75" s="231"/>
      <c r="I75" s="231"/>
      <c r="J75" s="231"/>
      <c r="K75" s="249"/>
      <c r="L75" s="231"/>
      <c r="M75" s="231" t="s">
        <v>2267</v>
      </c>
      <c r="N75" s="231" t="s">
        <v>179</v>
      </c>
      <c r="O75" s="224" t="s">
        <v>2195</v>
      </c>
    </row>
    <row r="76" spans="1:15" ht="110.25">
      <c r="A76" s="247" t="s">
        <v>217</v>
      </c>
      <c r="B76" s="247" t="s">
        <v>2058</v>
      </c>
      <c r="C76" s="248" t="s">
        <v>1960</v>
      </c>
      <c r="D76" s="231" t="s">
        <v>1955</v>
      </c>
      <c r="E76" s="231"/>
      <c r="F76" s="231"/>
      <c r="G76" s="231"/>
      <c r="H76" s="231"/>
      <c r="I76" s="231"/>
      <c r="J76" s="231"/>
      <c r="K76" s="249"/>
      <c r="L76" s="231"/>
      <c r="M76" s="231" t="s">
        <v>2267</v>
      </c>
      <c r="N76" s="231" t="s">
        <v>181</v>
      </c>
      <c r="O76" s="224" t="s">
        <v>2199</v>
      </c>
    </row>
    <row r="77" spans="1:15" ht="126">
      <c r="A77" s="247" t="s">
        <v>218</v>
      </c>
      <c r="B77" s="247" t="s">
        <v>2059</v>
      </c>
      <c r="C77" s="248" t="s">
        <v>1961</v>
      </c>
      <c r="D77" s="249" t="s">
        <v>1956</v>
      </c>
      <c r="E77" s="249"/>
      <c r="F77" s="249"/>
      <c r="G77" s="249"/>
      <c r="H77" s="231"/>
      <c r="I77" s="249"/>
      <c r="J77" s="231"/>
      <c r="K77" s="249"/>
      <c r="L77" s="231"/>
      <c r="M77" s="231"/>
      <c r="N77" s="231" t="s">
        <v>2158</v>
      </c>
      <c r="O77" s="224" t="s">
        <v>205</v>
      </c>
    </row>
    <row r="78" spans="1:15" ht="189">
      <c r="A78" s="247" t="s">
        <v>220</v>
      </c>
      <c r="B78" s="247" t="s">
        <v>2060</v>
      </c>
      <c r="C78" s="253" t="s">
        <v>1965</v>
      </c>
      <c r="D78" s="249" t="s">
        <v>1957</v>
      </c>
      <c r="E78" s="249"/>
      <c r="F78" s="249"/>
      <c r="G78" s="231"/>
      <c r="H78" s="231" t="s">
        <v>2218</v>
      </c>
      <c r="I78" s="231"/>
      <c r="J78" s="231"/>
      <c r="K78" s="249"/>
      <c r="L78" s="231"/>
      <c r="M78" s="231" t="s">
        <v>2268</v>
      </c>
      <c r="N78" s="231" t="s">
        <v>221</v>
      </c>
      <c r="O78" s="224" t="s">
        <v>188</v>
      </c>
    </row>
    <row r="79" spans="1:15" ht="126">
      <c r="A79" s="247" t="s">
        <v>2166</v>
      </c>
      <c r="B79" s="247" t="s">
        <v>2061</v>
      </c>
      <c r="C79" s="248" t="s">
        <v>1971</v>
      </c>
      <c r="D79" s="249" t="s">
        <v>1944</v>
      </c>
      <c r="E79" s="249" t="s">
        <v>2165</v>
      </c>
      <c r="F79" s="249"/>
      <c r="G79" s="231"/>
      <c r="H79" s="231"/>
      <c r="I79" s="231"/>
      <c r="J79" s="231"/>
      <c r="K79" s="261" t="s">
        <v>2237</v>
      </c>
      <c r="L79" s="231"/>
      <c r="M79" s="231" t="s">
        <v>2284</v>
      </c>
      <c r="N79" s="231" t="s">
        <v>222</v>
      </c>
      <c r="O79" s="224" t="s">
        <v>2206</v>
      </c>
    </row>
    <row r="80" spans="1:15" ht="78.75">
      <c r="A80" s="247" t="s">
        <v>223</v>
      </c>
      <c r="B80" s="247" t="s">
        <v>2062</v>
      </c>
      <c r="C80" s="248" t="s">
        <v>1965</v>
      </c>
      <c r="D80" s="249" t="s">
        <v>2140</v>
      </c>
      <c r="E80" s="231" t="s">
        <v>2161</v>
      </c>
      <c r="F80" s="249" t="s">
        <v>1783</v>
      </c>
      <c r="G80" s="231"/>
      <c r="H80" s="231"/>
      <c r="I80" s="231" t="s">
        <v>2144</v>
      </c>
      <c r="J80" s="231"/>
      <c r="K80" s="261" t="s">
        <v>2230</v>
      </c>
      <c r="L80" s="231"/>
      <c r="M80" s="231" t="s">
        <v>1360</v>
      </c>
      <c r="N80" s="231" t="s">
        <v>171</v>
      </c>
      <c r="O80" s="224"/>
    </row>
    <row r="81" spans="1:15" ht="78.75">
      <c r="A81" s="252" t="s">
        <v>224</v>
      </c>
      <c r="B81" s="252" t="s">
        <v>2063</v>
      </c>
      <c r="C81" s="248" t="s">
        <v>1975</v>
      </c>
      <c r="D81" s="249" t="s">
        <v>2107</v>
      </c>
      <c r="E81" s="249" t="s">
        <v>2162</v>
      </c>
      <c r="F81" s="249"/>
      <c r="G81" s="249"/>
      <c r="H81" s="231"/>
      <c r="I81" s="249"/>
      <c r="J81" s="231"/>
      <c r="K81" s="261" t="s">
        <v>2231</v>
      </c>
      <c r="L81" s="231"/>
      <c r="M81" s="231" t="s">
        <v>2269</v>
      </c>
      <c r="N81" s="231" t="s">
        <v>171</v>
      </c>
      <c r="O81" s="224"/>
    </row>
    <row r="82" spans="1:15" ht="110.25">
      <c r="A82" s="247" t="s">
        <v>225</v>
      </c>
      <c r="B82" s="247" t="s">
        <v>2064</v>
      </c>
      <c r="C82" s="248" t="s">
        <v>1961</v>
      </c>
      <c r="D82" s="249" t="s">
        <v>2097</v>
      </c>
      <c r="E82" s="249" t="s">
        <v>2152</v>
      </c>
      <c r="F82" s="249"/>
      <c r="G82" s="249"/>
      <c r="H82" s="249"/>
      <c r="I82" s="249"/>
      <c r="J82" s="249"/>
      <c r="K82" s="261" t="s">
        <v>2441</v>
      </c>
      <c r="L82" s="231"/>
      <c r="M82" s="231"/>
      <c r="N82" s="231"/>
      <c r="O82" s="224"/>
    </row>
    <row r="83" spans="1:15" ht="157.5">
      <c r="A83" s="247" t="s">
        <v>2176</v>
      </c>
      <c r="B83" s="247" t="s">
        <v>2065</v>
      </c>
      <c r="C83" s="262" t="s">
        <v>1971</v>
      </c>
      <c r="D83" s="232" t="s">
        <v>2108</v>
      </c>
      <c r="E83" s="249" t="s">
        <v>2173</v>
      </c>
      <c r="F83" s="249"/>
      <c r="G83" s="231"/>
      <c r="H83" s="249" t="s">
        <v>2224</v>
      </c>
      <c r="I83" s="231"/>
      <c r="J83" s="231"/>
      <c r="K83" s="261" t="s">
        <v>2234</v>
      </c>
      <c r="L83" s="231"/>
      <c r="M83" s="231" t="s">
        <v>2285</v>
      </c>
      <c r="N83" s="231" t="s">
        <v>226</v>
      </c>
      <c r="O83" s="224" t="s">
        <v>2207</v>
      </c>
    </row>
    <row r="84" spans="1:15" ht="204.75">
      <c r="A84" s="247" t="s">
        <v>1292</v>
      </c>
      <c r="B84" s="247" t="s">
        <v>2066</v>
      </c>
      <c r="C84" s="248" t="s">
        <v>1973</v>
      </c>
      <c r="D84" s="249" t="s">
        <v>2095</v>
      </c>
      <c r="E84" s="249" t="s">
        <v>2208</v>
      </c>
      <c r="F84" s="249" t="s">
        <v>1777</v>
      </c>
      <c r="G84" s="231"/>
      <c r="H84" s="231"/>
      <c r="I84" s="231"/>
      <c r="J84" s="231"/>
      <c r="K84" s="249" t="s">
        <v>2442</v>
      </c>
      <c r="L84" s="231"/>
      <c r="M84" s="231" t="s">
        <v>2286</v>
      </c>
      <c r="N84" s="231" t="s">
        <v>227</v>
      </c>
      <c r="O84" s="224" t="s">
        <v>2209</v>
      </c>
    </row>
    <row r="85" spans="1:15" ht="94.5">
      <c r="A85" s="247" t="s">
        <v>228</v>
      </c>
      <c r="B85" s="247" t="s">
        <v>2067</v>
      </c>
      <c r="C85" s="248" t="s">
        <v>1960</v>
      </c>
      <c r="D85" s="249" t="s">
        <v>2109</v>
      </c>
      <c r="E85" s="249"/>
      <c r="F85" s="249"/>
      <c r="G85" s="231"/>
      <c r="H85" s="231"/>
      <c r="I85" s="231"/>
      <c r="J85" s="231"/>
      <c r="K85" s="249"/>
      <c r="L85" s="231"/>
      <c r="M85" s="231"/>
      <c r="N85" s="231" t="s">
        <v>149</v>
      </c>
      <c r="O85" s="224"/>
    </row>
    <row r="86" spans="1:15" ht="94.5">
      <c r="A86" s="247" t="s">
        <v>229</v>
      </c>
      <c r="B86" s="247" t="s">
        <v>2068</v>
      </c>
      <c r="C86" s="248" t="s">
        <v>1960</v>
      </c>
      <c r="D86" s="249" t="s">
        <v>2109</v>
      </c>
      <c r="E86" s="249"/>
      <c r="F86" s="249"/>
      <c r="G86" s="231"/>
      <c r="H86" s="231"/>
      <c r="I86" s="231"/>
      <c r="J86" s="231"/>
      <c r="K86" s="249"/>
      <c r="L86" s="231"/>
      <c r="M86" s="231"/>
      <c r="N86" s="231" t="s">
        <v>151</v>
      </c>
      <c r="O86" s="224"/>
    </row>
    <row r="87" spans="1:15" ht="47.25">
      <c r="A87" s="247" t="s">
        <v>230</v>
      </c>
      <c r="B87" s="247" t="s">
        <v>2069</v>
      </c>
      <c r="C87" s="253" t="s">
        <v>1969</v>
      </c>
      <c r="D87" s="249" t="s">
        <v>1951</v>
      </c>
      <c r="E87" s="249" t="s">
        <v>2162</v>
      </c>
      <c r="F87" s="249"/>
      <c r="G87" s="231"/>
      <c r="H87" s="231"/>
      <c r="I87" s="231"/>
      <c r="J87" s="231"/>
      <c r="K87" s="263" t="s">
        <v>2443</v>
      </c>
      <c r="L87" s="231"/>
      <c r="M87" s="231" t="s">
        <v>231</v>
      </c>
      <c r="N87" s="231" t="s">
        <v>161</v>
      </c>
      <c r="O87" s="224" t="s">
        <v>232</v>
      </c>
    </row>
    <row r="88" spans="1:15" ht="47.25">
      <c r="A88" s="247" t="s">
        <v>233</v>
      </c>
      <c r="B88" s="247" t="s">
        <v>2070</v>
      </c>
      <c r="C88" s="253" t="s">
        <v>1969</v>
      </c>
      <c r="D88" s="249" t="s">
        <v>1951</v>
      </c>
      <c r="E88" s="249" t="s">
        <v>2162</v>
      </c>
      <c r="F88" s="249"/>
      <c r="G88" s="231"/>
      <c r="H88" s="231"/>
      <c r="I88" s="231"/>
      <c r="J88" s="231"/>
      <c r="K88" s="263" t="s">
        <v>2443</v>
      </c>
      <c r="L88" s="231"/>
      <c r="M88" s="231" t="s">
        <v>234</v>
      </c>
      <c r="N88" s="231" t="s">
        <v>151</v>
      </c>
      <c r="O88" s="224" t="s">
        <v>136</v>
      </c>
    </row>
    <row r="89" spans="1:15" ht="94.5">
      <c r="A89" s="247" t="s">
        <v>235</v>
      </c>
      <c r="B89" s="247" t="s">
        <v>2071</v>
      </c>
      <c r="C89" s="248" t="s">
        <v>1964</v>
      </c>
      <c r="D89" s="249" t="s">
        <v>2110</v>
      </c>
      <c r="E89" s="249" t="s">
        <v>2162</v>
      </c>
      <c r="F89" s="249"/>
      <c r="G89" s="231"/>
      <c r="H89" s="231"/>
      <c r="I89" s="231"/>
      <c r="J89" s="231"/>
      <c r="K89" s="261" t="s">
        <v>2251</v>
      </c>
      <c r="L89" s="231" t="s">
        <v>2279</v>
      </c>
      <c r="M89" s="231"/>
      <c r="N89" s="231" t="s">
        <v>2210</v>
      </c>
      <c r="O89" s="224"/>
    </row>
    <row r="90" spans="1:15" ht="94.5">
      <c r="A90" s="247" t="s">
        <v>236</v>
      </c>
      <c r="B90" s="247" t="s">
        <v>2072</v>
      </c>
      <c r="C90" s="248" t="s">
        <v>1964</v>
      </c>
      <c r="D90" s="249" t="s">
        <v>2444</v>
      </c>
      <c r="E90" s="249" t="s">
        <v>2162</v>
      </c>
      <c r="F90" s="249"/>
      <c r="G90" s="231"/>
      <c r="H90" s="231"/>
      <c r="I90" s="231"/>
      <c r="J90" s="231"/>
      <c r="K90" s="261" t="s">
        <v>2251</v>
      </c>
      <c r="L90" s="231"/>
      <c r="M90" s="231"/>
      <c r="N90" s="231"/>
      <c r="O90" s="224"/>
    </row>
    <row r="91" spans="1:15" ht="94.5">
      <c r="A91" s="247" t="s">
        <v>237</v>
      </c>
      <c r="B91" s="247" t="s">
        <v>2073</v>
      </c>
      <c r="C91" s="248" t="s">
        <v>1964</v>
      </c>
      <c r="D91" s="249" t="s">
        <v>2111</v>
      </c>
      <c r="E91" s="249" t="s">
        <v>2162</v>
      </c>
      <c r="F91" s="249"/>
      <c r="G91" s="231"/>
      <c r="H91" s="249"/>
      <c r="I91" s="231"/>
      <c r="J91" s="231"/>
      <c r="K91" s="261" t="s">
        <v>2251</v>
      </c>
      <c r="L91" s="231"/>
      <c r="M91" s="231"/>
      <c r="N91" s="231"/>
      <c r="O91" s="224"/>
    </row>
    <row r="92" spans="1:15" ht="110.25">
      <c r="A92" s="247" t="s">
        <v>238</v>
      </c>
      <c r="B92" s="247" t="s">
        <v>2074</v>
      </c>
      <c r="C92" s="264" t="s">
        <v>1959</v>
      </c>
      <c r="D92" s="265" t="s">
        <v>2096</v>
      </c>
      <c r="E92" s="249" t="s">
        <v>2211</v>
      </c>
      <c r="F92" s="249" t="s">
        <v>1777</v>
      </c>
      <c r="G92" s="231"/>
      <c r="H92" s="249"/>
      <c r="I92" s="231"/>
      <c r="J92" s="231"/>
      <c r="K92" s="261" t="s">
        <v>2445</v>
      </c>
      <c r="L92" s="231"/>
      <c r="M92" s="231" t="s">
        <v>2212</v>
      </c>
      <c r="N92" s="231" t="s">
        <v>239</v>
      </c>
      <c r="O92" s="224" t="s">
        <v>2213</v>
      </c>
    </row>
    <row r="93" spans="1:15" ht="78.75">
      <c r="A93" s="247" t="s">
        <v>1293</v>
      </c>
      <c r="B93" s="247" t="s">
        <v>1841</v>
      </c>
      <c r="C93" s="248" t="s">
        <v>1978</v>
      </c>
      <c r="D93" s="249" t="s">
        <v>2112</v>
      </c>
      <c r="E93" s="249" t="s">
        <v>2446</v>
      </c>
      <c r="F93" s="249"/>
      <c r="G93" s="231" t="s">
        <v>1294</v>
      </c>
      <c r="H93" s="249" t="s">
        <v>2222</v>
      </c>
      <c r="I93" s="231" t="s">
        <v>2146</v>
      </c>
      <c r="J93" s="231" t="s">
        <v>2567</v>
      </c>
      <c r="K93" s="249" t="s">
        <v>2568</v>
      </c>
      <c r="L93" s="231" t="s">
        <v>1589</v>
      </c>
      <c r="M93" s="231" t="s">
        <v>2288</v>
      </c>
      <c r="N93" s="231" t="s">
        <v>240</v>
      </c>
      <c r="O93" s="224" t="s">
        <v>241</v>
      </c>
    </row>
    <row r="94" spans="1:15" ht="110.25">
      <c r="A94" s="247" t="s">
        <v>242</v>
      </c>
      <c r="B94" s="247" t="s">
        <v>2075</v>
      </c>
      <c r="C94" s="253" t="s">
        <v>1960</v>
      </c>
      <c r="D94" s="249" t="s">
        <v>2113</v>
      </c>
      <c r="E94" s="249"/>
      <c r="F94" s="249"/>
      <c r="G94" s="231"/>
      <c r="H94" s="249"/>
      <c r="I94" s="231"/>
      <c r="J94" s="231"/>
      <c r="K94" s="249"/>
      <c r="L94" s="231"/>
      <c r="M94" s="231"/>
      <c r="N94" s="231" t="s">
        <v>179</v>
      </c>
      <c r="O94" s="224" t="s">
        <v>2214</v>
      </c>
    </row>
    <row r="95" spans="1:15" ht="110.25">
      <c r="A95" s="247" t="s">
        <v>243</v>
      </c>
      <c r="B95" s="247" t="s">
        <v>2076</v>
      </c>
      <c r="C95" s="253" t="s">
        <v>1960</v>
      </c>
      <c r="D95" s="249" t="s">
        <v>2113</v>
      </c>
      <c r="E95" s="249"/>
      <c r="F95" s="249"/>
      <c r="G95" s="231"/>
      <c r="H95" s="249"/>
      <c r="I95" s="231"/>
      <c r="J95" s="231"/>
      <c r="K95" s="249"/>
      <c r="L95" s="231"/>
      <c r="M95" s="231"/>
      <c r="N95" s="231" t="s">
        <v>244</v>
      </c>
      <c r="O95" s="224" t="s">
        <v>2215</v>
      </c>
    </row>
    <row r="96" spans="1:15" ht="78.75">
      <c r="A96" s="247" t="s">
        <v>245</v>
      </c>
      <c r="B96" s="247" t="s">
        <v>2077</v>
      </c>
      <c r="C96" s="253" t="s">
        <v>1965</v>
      </c>
      <c r="D96" s="249" t="s">
        <v>2141</v>
      </c>
      <c r="E96" s="249" t="s">
        <v>2159</v>
      </c>
      <c r="F96" s="249"/>
      <c r="G96" s="231"/>
      <c r="H96" s="249"/>
      <c r="I96" s="231" t="s">
        <v>2144</v>
      </c>
      <c r="J96" s="231"/>
      <c r="K96" s="261" t="s">
        <v>2229</v>
      </c>
      <c r="L96" s="231"/>
      <c r="M96" s="231" t="s">
        <v>2259</v>
      </c>
      <c r="N96" s="231" t="s">
        <v>161</v>
      </c>
      <c r="O96" s="224" t="s">
        <v>133</v>
      </c>
    </row>
    <row r="97" spans="1:15" ht="78.75">
      <c r="A97" s="247" t="s">
        <v>246</v>
      </c>
      <c r="B97" s="247" t="s">
        <v>2078</v>
      </c>
      <c r="C97" s="253" t="s">
        <v>1965</v>
      </c>
      <c r="D97" s="249" t="s">
        <v>2141</v>
      </c>
      <c r="E97" s="249"/>
      <c r="F97" s="249" t="s">
        <v>2447</v>
      </c>
      <c r="G97" s="231"/>
      <c r="H97" s="249"/>
      <c r="I97" s="231" t="s">
        <v>2144</v>
      </c>
      <c r="J97" s="231"/>
      <c r="K97" s="261" t="s">
        <v>2229</v>
      </c>
      <c r="L97" s="231"/>
      <c r="M97" s="231" t="s">
        <v>2270</v>
      </c>
      <c r="N97" s="231" t="s">
        <v>247</v>
      </c>
      <c r="O97" s="224" t="s">
        <v>248</v>
      </c>
    </row>
    <row r="98" spans="1:15" ht="94.5">
      <c r="A98" s="247" t="s">
        <v>2079</v>
      </c>
      <c r="B98" s="247" t="s">
        <v>2080</v>
      </c>
      <c r="C98" s="253" t="s">
        <v>1960</v>
      </c>
      <c r="D98" s="249" t="s">
        <v>2114</v>
      </c>
      <c r="E98" s="249" t="s">
        <v>2162</v>
      </c>
      <c r="F98" s="249"/>
      <c r="G98" s="231"/>
      <c r="H98" s="249"/>
      <c r="I98" s="231"/>
      <c r="J98" s="231"/>
      <c r="K98" s="261" t="s">
        <v>2231</v>
      </c>
      <c r="L98" s="231"/>
      <c r="M98" s="231" t="s">
        <v>2271</v>
      </c>
      <c r="N98" s="231" t="s">
        <v>249</v>
      </c>
      <c r="O98" s="224" t="s">
        <v>2216</v>
      </c>
    </row>
    <row r="99" spans="1:15" ht="126">
      <c r="A99" s="247" t="s">
        <v>250</v>
      </c>
      <c r="B99" s="247" t="s">
        <v>2081</v>
      </c>
      <c r="C99" s="253"/>
      <c r="D99" s="249" t="s">
        <v>2115</v>
      </c>
      <c r="E99" s="249" t="s">
        <v>2168</v>
      </c>
      <c r="F99" s="249"/>
      <c r="G99" s="231"/>
      <c r="H99" s="249"/>
      <c r="I99" s="231" t="s">
        <v>2116</v>
      </c>
      <c r="J99" s="231"/>
      <c r="K99" s="261" t="s">
        <v>2242</v>
      </c>
      <c r="L99" s="231"/>
      <c r="M99" s="231" t="s">
        <v>1274</v>
      </c>
      <c r="N99" s="231" t="s">
        <v>2217</v>
      </c>
      <c r="O99" s="224"/>
    </row>
    <row r="100" spans="1:15" ht="126">
      <c r="A100" s="247" t="s">
        <v>251</v>
      </c>
      <c r="B100" s="247" t="s">
        <v>2082</v>
      </c>
      <c r="C100" s="248" t="s">
        <v>1967</v>
      </c>
      <c r="D100" s="249" t="s">
        <v>2142</v>
      </c>
      <c r="E100" s="231"/>
      <c r="F100" s="231"/>
      <c r="G100" s="231" t="s">
        <v>1154</v>
      </c>
      <c r="H100" s="249"/>
      <c r="I100" s="231" t="s">
        <v>2126</v>
      </c>
      <c r="J100" s="231"/>
      <c r="K100" s="255" t="s">
        <v>2448</v>
      </c>
      <c r="L100" s="231"/>
      <c r="M100" s="231" t="s">
        <v>2272</v>
      </c>
      <c r="N100" s="231" t="s">
        <v>183</v>
      </c>
      <c r="O100" s="224" t="s">
        <v>252</v>
      </c>
    </row>
  </sheetData>
  <mergeCells count="1">
    <mergeCell ref="E1:K1"/>
  </mergeCells>
  <phoneticPr fontId="26" type="noConversion"/>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256"/>
  <sheetViews>
    <sheetView workbookViewId="0">
      <pane ySplit="1" topLeftCell="A46" activePane="bottomLeft" state="frozen"/>
      <selection pane="bottomLeft" activeCell="B29" sqref="B29"/>
    </sheetView>
  </sheetViews>
  <sheetFormatPr defaultColWidth="12.5703125" defaultRowHeight="15.75" customHeight="1"/>
  <cols>
    <col min="1" max="1" width="21.28515625" customWidth="1"/>
    <col min="2" max="2" width="22.28515625" customWidth="1"/>
    <col min="3" max="3" width="24.42578125" customWidth="1"/>
    <col min="4" max="4" width="25.42578125" customWidth="1"/>
    <col min="5" max="5" width="25.28515625" customWidth="1"/>
    <col min="6" max="6" width="25.42578125" customWidth="1"/>
    <col min="7" max="7" width="28.7109375" customWidth="1"/>
    <col min="8" max="8" width="22" customWidth="1"/>
  </cols>
  <sheetData>
    <row r="1" spans="1:8" ht="15">
      <c r="A1" s="17" t="s">
        <v>253</v>
      </c>
      <c r="B1" s="35" t="s">
        <v>69</v>
      </c>
      <c r="C1" s="35" t="s">
        <v>254</v>
      </c>
      <c r="D1" s="35" t="s">
        <v>0</v>
      </c>
      <c r="E1" s="35" t="s">
        <v>90</v>
      </c>
      <c r="F1" s="35" t="s">
        <v>91</v>
      </c>
      <c r="G1" s="35" t="s">
        <v>255</v>
      </c>
      <c r="H1" s="35" t="s">
        <v>256</v>
      </c>
    </row>
    <row r="2" spans="1:8" ht="15.75" customHeight="1">
      <c r="A2" s="52" t="s">
        <v>257</v>
      </c>
      <c r="B2" s="294" t="s">
        <v>258</v>
      </c>
      <c r="C2" s="278"/>
      <c r="D2" s="278"/>
      <c r="E2" s="54"/>
      <c r="F2" s="55"/>
      <c r="G2" s="55"/>
      <c r="H2" s="55"/>
    </row>
    <row r="3" spans="1:8" ht="15">
      <c r="A3" s="56" t="s">
        <v>3</v>
      </c>
      <c r="B3" s="57"/>
      <c r="C3" s="57"/>
      <c r="D3" s="57"/>
      <c r="E3" s="57"/>
      <c r="F3" s="57"/>
      <c r="G3" s="58"/>
      <c r="H3" s="59"/>
    </row>
    <row r="4" spans="1:8" ht="60">
      <c r="A4" s="60" t="s">
        <v>259</v>
      </c>
      <c r="B4" s="61"/>
      <c r="C4" s="62"/>
      <c r="D4" s="62"/>
      <c r="E4" s="62"/>
      <c r="F4" s="62"/>
      <c r="G4" s="63" t="s">
        <v>260</v>
      </c>
      <c r="H4" s="62"/>
    </row>
    <row r="5" spans="1:8" ht="210">
      <c r="A5" s="60" t="s">
        <v>261</v>
      </c>
      <c r="B5" s="64"/>
      <c r="C5" s="65"/>
      <c r="D5" s="65"/>
      <c r="E5" s="65"/>
      <c r="F5" s="65"/>
      <c r="G5" s="44" t="s">
        <v>1361</v>
      </c>
      <c r="H5" s="65"/>
    </row>
    <row r="6" spans="1:8" ht="195">
      <c r="A6" s="66" t="s">
        <v>262</v>
      </c>
      <c r="B6" s="184" t="s">
        <v>1650</v>
      </c>
      <c r="C6" s="44" t="s">
        <v>1447</v>
      </c>
      <c r="D6" s="44" t="s">
        <v>1295</v>
      </c>
      <c r="E6" s="44" t="s">
        <v>263</v>
      </c>
      <c r="F6" s="44" t="s">
        <v>264</v>
      </c>
      <c r="G6" s="44" t="s">
        <v>265</v>
      </c>
      <c r="H6" s="44" t="s">
        <v>266</v>
      </c>
    </row>
    <row r="7" spans="1:8" ht="15">
      <c r="A7" s="56" t="s">
        <v>4</v>
      </c>
      <c r="B7" s="57"/>
      <c r="C7" s="57"/>
      <c r="D7" s="57"/>
      <c r="E7" s="57"/>
      <c r="F7" s="57"/>
      <c r="G7" s="58"/>
      <c r="H7" s="59"/>
    </row>
    <row r="8" spans="1:8" ht="195">
      <c r="A8" s="60" t="s">
        <v>267</v>
      </c>
      <c r="B8" s="179" t="s">
        <v>1651</v>
      </c>
      <c r="C8" s="63" t="s">
        <v>1448</v>
      </c>
      <c r="D8" s="63" t="s">
        <v>1296</v>
      </c>
      <c r="E8" s="63" t="s">
        <v>268</v>
      </c>
      <c r="F8" s="63" t="s">
        <v>269</v>
      </c>
      <c r="G8" s="63" t="s">
        <v>1297</v>
      </c>
      <c r="H8" s="62"/>
    </row>
    <row r="9" spans="1:8" ht="195">
      <c r="A9" s="60" t="s">
        <v>1263</v>
      </c>
      <c r="B9" s="184" t="s">
        <v>1667</v>
      </c>
      <c r="C9" s="44" t="s">
        <v>1448</v>
      </c>
      <c r="D9" s="44" t="s">
        <v>270</v>
      </c>
      <c r="E9" s="44" t="s">
        <v>271</v>
      </c>
      <c r="F9" s="44" t="s">
        <v>271</v>
      </c>
      <c r="G9" s="44" t="s">
        <v>1449</v>
      </c>
      <c r="H9" s="65"/>
    </row>
    <row r="10" spans="1:8" ht="195">
      <c r="A10" s="60" t="s">
        <v>272</v>
      </c>
      <c r="B10" s="184" t="s">
        <v>1652</v>
      </c>
      <c r="C10" s="44" t="s">
        <v>1450</v>
      </c>
      <c r="D10" s="44" t="s">
        <v>1298</v>
      </c>
      <c r="E10" s="44" t="s">
        <v>273</v>
      </c>
      <c r="F10" s="44" t="s">
        <v>274</v>
      </c>
      <c r="G10" s="44" t="s">
        <v>1197</v>
      </c>
      <c r="H10" s="44" t="s">
        <v>275</v>
      </c>
    </row>
    <row r="11" spans="1:8" ht="15">
      <c r="A11" s="56" t="s">
        <v>5</v>
      </c>
      <c r="B11" s="57"/>
      <c r="C11" s="57"/>
      <c r="D11" s="57"/>
      <c r="E11" s="57"/>
      <c r="F11" s="57"/>
      <c r="G11" s="58"/>
      <c r="H11" s="59"/>
    </row>
    <row r="12" spans="1:8" ht="195">
      <c r="A12" s="60" t="s">
        <v>276</v>
      </c>
      <c r="B12" s="179" t="s">
        <v>1653</v>
      </c>
      <c r="C12" s="63" t="s">
        <v>1451</v>
      </c>
      <c r="D12" s="63" t="s">
        <v>1299</v>
      </c>
      <c r="E12" s="63" t="s">
        <v>277</v>
      </c>
      <c r="F12" s="63" t="s">
        <v>274</v>
      </c>
      <c r="G12" s="63" t="s">
        <v>1300</v>
      </c>
      <c r="H12" s="63" t="s">
        <v>266</v>
      </c>
    </row>
    <row r="13" spans="1:8" ht="195">
      <c r="A13" s="60" t="s">
        <v>1264</v>
      </c>
      <c r="B13" s="184" t="s">
        <v>1668</v>
      </c>
      <c r="C13" s="44" t="s">
        <v>1452</v>
      </c>
      <c r="D13" s="44" t="s">
        <v>278</v>
      </c>
      <c r="E13" s="44" t="s">
        <v>279</v>
      </c>
      <c r="F13" s="44" t="s">
        <v>279</v>
      </c>
      <c r="G13" s="44" t="s">
        <v>1453</v>
      </c>
      <c r="H13" s="65"/>
    </row>
    <row r="14" spans="1:8" ht="195">
      <c r="A14" s="60" t="s">
        <v>280</v>
      </c>
      <c r="B14" s="184" t="s">
        <v>1654</v>
      </c>
      <c r="C14" s="44" t="s">
        <v>1454</v>
      </c>
      <c r="D14" s="44" t="s">
        <v>281</v>
      </c>
      <c r="E14" s="44" t="s">
        <v>282</v>
      </c>
      <c r="F14" s="44" t="s">
        <v>283</v>
      </c>
      <c r="G14" s="44" t="s">
        <v>284</v>
      </c>
      <c r="H14" s="44" t="s">
        <v>285</v>
      </c>
    </row>
    <row r="15" spans="1:8" ht="15">
      <c r="A15" s="56" t="s">
        <v>6</v>
      </c>
      <c r="B15" s="57"/>
      <c r="C15" s="57"/>
      <c r="D15" s="57"/>
      <c r="E15" s="57"/>
      <c r="F15" s="57"/>
      <c r="G15" s="58"/>
      <c r="H15" s="59"/>
    </row>
    <row r="16" spans="1:8" ht="195">
      <c r="A16" s="66" t="s">
        <v>286</v>
      </c>
      <c r="B16" s="179" t="s">
        <v>1655</v>
      </c>
      <c r="C16" s="63" t="s">
        <v>1455</v>
      </c>
      <c r="D16" s="63" t="s">
        <v>1298</v>
      </c>
      <c r="E16" s="63" t="s">
        <v>287</v>
      </c>
      <c r="F16" s="63" t="s">
        <v>283</v>
      </c>
      <c r="G16" s="63" t="s">
        <v>1681</v>
      </c>
      <c r="H16" s="62"/>
    </row>
    <row r="17" spans="1:8" ht="195">
      <c r="A17" s="66" t="s">
        <v>1265</v>
      </c>
      <c r="B17" s="184" t="s">
        <v>1669</v>
      </c>
      <c r="C17" s="44" t="s">
        <v>1456</v>
      </c>
      <c r="D17" s="44" t="s">
        <v>288</v>
      </c>
      <c r="E17" s="44" t="s">
        <v>289</v>
      </c>
      <c r="F17" s="44" t="s">
        <v>289</v>
      </c>
      <c r="G17" s="44" t="s">
        <v>1457</v>
      </c>
      <c r="H17" s="65"/>
    </row>
    <row r="18" spans="1:8" ht="195">
      <c r="A18" s="66" t="s">
        <v>290</v>
      </c>
      <c r="B18" s="184" t="s">
        <v>1624</v>
      </c>
      <c r="C18" s="44" t="s">
        <v>1458</v>
      </c>
      <c r="D18" s="44" t="s">
        <v>1181</v>
      </c>
      <c r="E18" s="44" t="s">
        <v>291</v>
      </c>
      <c r="F18" s="44" t="s">
        <v>292</v>
      </c>
      <c r="G18" s="44" t="s">
        <v>293</v>
      </c>
      <c r="H18" s="65"/>
    </row>
    <row r="19" spans="1:8" ht="195">
      <c r="A19" s="60" t="s">
        <v>294</v>
      </c>
      <c r="B19" s="184" t="s">
        <v>1625</v>
      </c>
      <c r="C19" s="44" t="s">
        <v>1458</v>
      </c>
      <c r="D19" s="44" t="s">
        <v>295</v>
      </c>
      <c r="E19" s="44" t="s">
        <v>295</v>
      </c>
      <c r="F19" s="44" t="s">
        <v>295</v>
      </c>
      <c r="G19" s="44" t="s">
        <v>1459</v>
      </c>
      <c r="H19" s="65"/>
    </row>
    <row r="20" spans="1:8" ht="210">
      <c r="A20" s="66" t="s">
        <v>296</v>
      </c>
      <c r="B20" s="184" t="s">
        <v>1626</v>
      </c>
      <c r="C20" s="44" t="s">
        <v>1460</v>
      </c>
      <c r="D20" s="44" t="s">
        <v>297</v>
      </c>
      <c r="E20" s="44" t="s">
        <v>298</v>
      </c>
      <c r="F20" s="44" t="s">
        <v>283</v>
      </c>
      <c r="G20" s="44" t="s">
        <v>2289</v>
      </c>
      <c r="H20" s="44" t="s">
        <v>299</v>
      </c>
    </row>
    <row r="21" spans="1:8" ht="195">
      <c r="A21" s="60" t="s">
        <v>300</v>
      </c>
      <c r="B21" s="184" t="s">
        <v>1627</v>
      </c>
      <c r="C21" s="44" t="s">
        <v>1461</v>
      </c>
      <c r="D21" s="44" t="s">
        <v>301</v>
      </c>
      <c r="E21" s="65"/>
      <c r="F21" s="65"/>
      <c r="G21" s="44" t="s">
        <v>302</v>
      </c>
      <c r="H21" s="44" t="s">
        <v>303</v>
      </c>
    </row>
    <row r="22" spans="1:8" ht="195">
      <c r="A22" s="60" t="s">
        <v>304</v>
      </c>
      <c r="B22" s="184" t="s">
        <v>1628</v>
      </c>
      <c r="C22" s="44" t="s">
        <v>1462</v>
      </c>
      <c r="D22" s="65"/>
      <c r="E22" s="65"/>
      <c r="F22" s="65"/>
      <c r="G22" s="44" t="s">
        <v>259</v>
      </c>
      <c r="H22" s="44" t="s">
        <v>305</v>
      </c>
    </row>
    <row r="23" spans="1:8" ht="15">
      <c r="A23" s="56" t="s">
        <v>7</v>
      </c>
      <c r="B23" s="57"/>
      <c r="C23" s="57"/>
      <c r="D23" s="57"/>
      <c r="E23" s="57"/>
      <c r="F23" s="57"/>
      <c r="G23" s="58"/>
      <c r="H23" s="59"/>
    </row>
    <row r="24" spans="1:8" ht="315">
      <c r="A24" s="66" t="s">
        <v>306</v>
      </c>
      <c r="B24" s="185" t="s">
        <v>1629</v>
      </c>
      <c r="C24" s="63" t="s">
        <v>1463</v>
      </c>
      <c r="D24" s="63" t="s">
        <v>1182</v>
      </c>
      <c r="E24" s="63" t="s">
        <v>307</v>
      </c>
      <c r="F24" s="63" t="s">
        <v>308</v>
      </c>
      <c r="G24" s="63" t="s">
        <v>2290</v>
      </c>
      <c r="H24" s="63" t="s">
        <v>1394</v>
      </c>
    </row>
    <row r="25" spans="1:8" ht="120">
      <c r="A25" s="67" t="s">
        <v>1630</v>
      </c>
      <c r="B25" s="186" t="s">
        <v>1631</v>
      </c>
      <c r="C25" s="65"/>
      <c r="D25" s="65"/>
      <c r="E25" s="65"/>
      <c r="F25" s="65"/>
      <c r="G25" s="65"/>
      <c r="H25" s="44" t="s">
        <v>309</v>
      </c>
    </row>
    <row r="26" spans="1:8" ht="60">
      <c r="A26" s="67" t="s">
        <v>310</v>
      </c>
      <c r="B26" s="186" t="s">
        <v>1632</v>
      </c>
      <c r="C26" s="65"/>
      <c r="D26" s="65"/>
      <c r="E26" s="65"/>
      <c r="F26" s="65"/>
      <c r="G26" s="65"/>
      <c r="H26" s="44" t="s">
        <v>311</v>
      </c>
    </row>
    <row r="27" spans="1:8" ht="15">
      <c r="A27" s="67" t="s">
        <v>312</v>
      </c>
      <c r="B27" s="65"/>
      <c r="C27" s="65"/>
      <c r="D27" s="65"/>
      <c r="E27" s="65"/>
      <c r="F27" s="65"/>
      <c r="G27" s="68" t="s">
        <v>313</v>
      </c>
      <c r="H27" s="65"/>
    </row>
    <row r="28" spans="1:8" ht="15">
      <c r="A28" s="67" t="s">
        <v>314</v>
      </c>
      <c r="B28" s="65"/>
      <c r="C28" s="65"/>
      <c r="D28" s="65"/>
      <c r="E28" s="65"/>
      <c r="F28" s="65"/>
      <c r="G28" s="68"/>
      <c r="H28" s="65"/>
    </row>
    <row r="29" spans="1:8" ht="210">
      <c r="A29" s="60" t="s">
        <v>315</v>
      </c>
      <c r="B29" s="187" t="s">
        <v>1633</v>
      </c>
      <c r="C29" s="44" t="s">
        <v>1464</v>
      </c>
      <c r="D29" s="44" t="s">
        <v>1183</v>
      </c>
      <c r="E29" s="44" t="s">
        <v>316</v>
      </c>
      <c r="F29" s="44" t="s">
        <v>317</v>
      </c>
      <c r="G29" s="44" t="s">
        <v>2291</v>
      </c>
      <c r="H29" s="65"/>
    </row>
    <row r="30" spans="1:8" ht="225">
      <c r="A30" s="60" t="s">
        <v>318</v>
      </c>
      <c r="B30" s="187" t="s">
        <v>1633</v>
      </c>
      <c r="C30" s="44" t="s">
        <v>1464</v>
      </c>
      <c r="D30" s="44" t="s">
        <v>319</v>
      </c>
      <c r="E30" s="44" t="s">
        <v>319</v>
      </c>
      <c r="F30" s="44" t="s">
        <v>319</v>
      </c>
      <c r="G30" s="44" t="s">
        <v>2292</v>
      </c>
      <c r="H30" s="65"/>
    </row>
    <row r="31" spans="1:8" ht="15">
      <c r="A31" s="56" t="s">
        <v>8</v>
      </c>
      <c r="B31" s="57"/>
      <c r="C31" s="57"/>
      <c r="D31" s="57"/>
      <c r="E31" s="57"/>
      <c r="F31" s="57"/>
      <c r="G31" s="58"/>
      <c r="H31" s="59"/>
    </row>
    <row r="32" spans="1:8" ht="210">
      <c r="A32" s="66" t="s">
        <v>320</v>
      </c>
      <c r="B32" s="62"/>
      <c r="C32" s="63" t="s">
        <v>1465</v>
      </c>
      <c r="D32" s="63" t="s">
        <v>1184</v>
      </c>
      <c r="E32" s="63" t="s">
        <v>321</v>
      </c>
      <c r="F32" s="63" t="s">
        <v>322</v>
      </c>
      <c r="G32" s="63" t="s">
        <v>1185</v>
      </c>
      <c r="H32" s="63"/>
    </row>
    <row r="34" spans="1:7" ht="109.5" customHeight="1">
      <c r="A34" s="70" t="s">
        <v>323</v>
      </c>
      <c r="B34" s="295" t="s">
        <v>1164</v>
      </c>
      <c r="C34" s="282"/>
      <c r="D34" s="296"/>
      <c r="E34" s="71"/>
      <c r="F34" s="71"/>
      <c r="G34" s="71"/>
    </row>
    <row r="35" spans="1:7" ht="15">
      <c r="A35" s="56" t="s">
        <v>324</v>
      </c>
      <c r="B35" s="57"/>
      <c r="C35" s="57"/>
      <c r="D35" s="57"/>
      <c r="E35" s="57"/>
      <c r="F35" s="57"/>
      <c r="G35" s="57"/>
    </row>
    <row r="36" spans="1:7" ht="210">
      <c r="A36" s="60" t="s">
        <v>325</v>
      </c>
      <c r="B36" s="187" t="s">
        <v>1673</v>
      </c>
      <c r="C36" s="41" t="s">
        <v>1466</v>
      </c>
      <c r="D36" s="72"/>
      <c r="E36" s="73"/>
      <c r="F36" s="30"/>
      <c r="G36" s="42" t="s">
        <v>326</v>
      </c>
    </row>
    <row r="37" spans="1:7" ht="75">
      <c r="A37" s="66" t="s">
        <v>327</v>
      </c>
      <c r="B37" s="185" t="s">
        <v>1674</v>
      </c>
      <c r="C37" s="180" t="s">
        <v>1677</v>
      </c>
      <c r="D37" s="41"/>
      <c r="E37" s="41" t="s">
        <v>328</v>
      </c>
      <c r="F37" s="30"/>
      <c r="G37" s="74"/>
    </row>
    <row r="38" spans="1:7" ht="210">
      <c r="A38" s="66" t="s">
        <v>329</v>
      </c>
      <c r="B38" s="185" t="s">
        <v>1675</v>
      </c>
      <c r="C38" s="41" t="s">
        <v>1467</v>
      </c>
      <c r="D38" s="41"/>
      <c r="E38" s="41"/>
      <c r="F38" s="30"/>
      <c r="G38" s="41" t="s">
        <v>330</v>
      </c>
    </row>
    <row r="39" spans="1:7" ht="15">
      <c r="A39" s="66" t="s">
        <v>331</v>
      </c>
      <c r="B39" s="190" t="s">
        <v>1676</v>
      </c>
      <c r="C39" s="180" t="s">
        <v>1678</v>
      </c>
      <c r="D39" s="76"/>
      <c r="E39" s="41" t="s">
        <v>328</v>
      </c>
      <c r="F39" s="30"/>
      <c r="G39" s="74"/>
    </row>
    <row r="40" spans="1:7" ht="210">
      <c r="A40" s="66" t="s">
        <v>332</v>
      </c>
      <c r="B40" s="11"/>
      <c r="C40" s="41" t="s">
        <v>1468</v>
      </c>
      <c r="D40" s="41"/>
      <c r="E40" s="41"/>
      <c r="F40" s="30"/>
      <c r="G40" s="41" t="s">
        <v>333</v>
      </c>
    </row>
    <row r="41" spans="1:7" ht="15">
      <c r="A41" s="56" t="s">
        <v>3</v>
      </c>
      <c r="B41" s="57"/>
      <c r="C41" s="57"/>
      <c r="D41" s="57"/>
      <c r="E41" s="57"/>
      <c r="F41" s="57"/>
      <c r="G41" s="57"/>
    </row>
    <row r="42" spans="1:7" ht="240">
      <c r="A42" s="66" t="s">
        <v>334</v>
      </c>
      <c r="B42" s="63" t="s">
        <v>1656</v>
      </c>
      <c r="C42" s="63" t="s">
        <v>1469</v>
      </c>
      <c r="D42" s="63" t="s">
        <v>1301</v>
      </c>
      <c r="E42" s="63" t="s">
        <v>335</v>
      </c>
      <c r="F42" s="63" t="s">
        <v>336</v>
      </c>
      <c r="G42" s="63" t="s">
        <v>337</v>
      </c>
    </row>
    <row r="43" spans="1:7" ht="210">
      <c r="A43" s="60" t="s">
        <v>338</v>
      </c>
      <c r="B43" s="44" t="s">
        <v>1657</v>
      </c>
      <c r="C43" s="44" t="s">
        <v>1470</v>
      </c>
      <c r="D43" s="44" t="s">
        <v>1135</v>
      </c>
      <c r="E43" s="44" t="s">
        <v>339</v>
      </c>
      <c r="F43" s="44" t="s">
        <v>340</v>
      </c>
      <c r="G43" s="44" t="s">
        <v>341</v>
      </c>
    </row>
    <row r="44" spans="1:7" ht="210">
      <c r="A44" s="66" t="s">
        <v>342</v>
      </c>
      <c r="B44" s="41" t="s">
        <v>343</v>
      </c>
      <c r="C44" s="41" t="s">
        <v>1471</v>
      </c>
      <c r="D44" s="41" t="s">
        <v>1165</v>
      </c>
      <c r="E44" s="41" t="s">
        <v>344</v>
      </c>
      <c r="F44" s="41" t="s">
        <v>345</v>
      </c>
      <c r="G44" s="41" t="s">
        <v>337</v>
      </c>
    </row>
    <row r="45" spans="1:7" ht="15">
      <c r="A45" s="77" t="s">
        <v>4</v>
      </c>
      <c r="B45" s="56"/>
      <c r="C45" s="57"/>
      <c r="D45" s="57"/>
      <c r="E45" s="57"/>
      <c r="F45" s="57"/>
      <c r="G45" s="57"/>
    </row>
    <row r="46" spans="1:7" ht="255">
      <c r="A46" s="60" t="s">
        <v>346</v>
      </c>
      <c r="B46" s="44" t="s">
        <v>1658</v>
      </c>
      <c r="C46" s="44" t="s">
        <v>1472</v>
      </c>
      <c r="D46" s="44" t="s">
        <v>1362</v>
      </c>
      <c r="E46" s="44" t="s">
        <v>347</v>
      </c>
      <c r="F46" s="44" t="s">
        <v>348</v>
      </c>
      <c r="G46" s="44" t="s">
        <v>349</v>
      </c>
    </row>
    <row r="47" spans="1:7" ht="210">
      <c r="A47" s="78" t="s">
        <v>350</v>
      </c>
      <c r="B47" s="79" t="s">
        <v>1659</v>
      </c>
      <c r="C47" s="80" t="s">
        <v>1473</v>
      </c>
      <c r="D47" s="79" t="s">
        <v>1245</v>
      </c>
      <c r="E47" s="79" t="s">
        <v>351</v>
      </c>
      <c r="F47" s="80" t="s">
        <v>352</v>
      </c>
      <c r="G47" s="79" t="s">
        <v>353</v>
      </c>
    </row>
    <row r="48" spans="1:7" ht="240">
      <c r="A48" s="66" t="s">
        <v>354</v>
      </c>
      <c r="B48" s="81" t="s">
        <v>1751</v>
      </c>
      <c r="C48" s="41" t="s">
        <v>1474</v>
      </c>
      <c r="D48" s="41" t="s">
        <v>1363</v>
      </c>
      <c r="E48" s="41" t="s">
        <v>153</v>
      </c>
      <c r="F48" s="41" t="s">
        <v>355</v>
      </c>
      <c r="G48" s="41" t="s">
        <v>1266</v>
      </c>
    </row>
    <row r="49" spans="1:8" ht="210">
      <c r="A49" s="60" t="s">
        <v>356</v>
      </c>
      <c r="B49" s="44" t="s">
        <v>357</v>
      </c>
      <c r="C49" s="44" t="s">
        <v>1475</v>
      </c>
      <c r="D49" s="44" t="s">
        <v>1198</v>
      </c>
      <c r="E49" s="44" t="s">
        <v>358</v>
      </c>
      <c r="F49" s="44" t="s">
        <v>359</v>
      </c>
      <c r="G49" s="44" t="s">
        <v>360</v>
      </c>
      <c r="H49" s="44"/>
    </row>
    <row r="50" spans="1:8" ht="15">
      <c r="A50" s="60" t="s">
        <v>361</v>
      </c>
      <c r="B50" s="44"/>
      <c r="C50" s="44"/>
      <c r="D50" s="44"/>
      <c r="E50" s="44"/>
      <c r="F50" s="44"/>
      <c r="G50" s="44" t="s">
        <v>362</v>
      </c>
      <c r="H50" s="44"/>
    </row>
    <row r="51" spans="1:8" ht="15">
      <c r="A51" s="77" t="s">
        <v>5</v>
      </c>
      <c r="B51" s="56"/>
      <c r="C51" s="57"/>
      <c r="D51" s="57"/>
      <c r="E51" s="57"/>
      <c r="F51" s="57"/>
      <c r="G51" s="57"/>
      <c r="H51" s="58"/>
    </row>
    <row r="52" spans="1:8" ht="300">
      <c r="A52" s="60" t="s">
        <v>362</v>
      </c>
      <c r="B52" s="44" t="s">
        <v>1660</v>
      </c>
      <c r="C52" s="44" t="s">
        <v>1476</v>
      </c>
      <c r="D52" s="44" t="s">
        <v>1364</v>
      </c>
      <c r="E52" s="44" t="s">
        <v>363</v>
      </c>
      <c r="F52" s="44" t="s">
        <v>364</v>
      </c>
      <c r="G52" s="44" t="s">
        <v>365</v>
      </c>
      <c r="H52" s="44"/>
    </row>
    <row r="53" spans="1:8" ht="210">
      <c r="A53" s="60" t="s">
        <v>366</v>
      </c>
      <c r="B53" s="44" t="s">
        <v>1661</v>
      </c>
      <c r="C53" s="44" t="s">
        <v>1477</v>
      </c>
      <c r="D53" s="44" t="s">
        <v>1302</v>
      </c>
      <c r="E53" s="82" t="s">
        <v>367</v>
      </c>
      <c r="F53" s="44" t="s">
        <v>368</v>
      </c>
      <c r="G53" s="44" t="s">
        <v>1303</v>
      </c>
      <c r="H53" s="44"/>
    </row>
    <row r="54" spans="1:8" ht="240">
      <c r="A54" s="60" t="s">
        <v>369</v>
      </c>
      <c r="B54" s="44" t="s">
        <v>1752</v>
      </c>
      <c r="C54" s="44" t="s">
        <v>1478</v>
      </c>
      <c r="D54" s="44" t="s">
        <v>1365</v>
      </c>
      <c r="E54" s="44" t="s">
        <v>370</v>
      </c>
      <c r="F54" s="44" t="s">
        <v>371</v>
      </c>
      <c r="G54" s="44" t="s">
        <v>1366</v>
      </c>
      <c r="H54" s="44"/>
    </row>
    <row r="55" spans="1:8" ht="210">
      <c r="A55" s="60" t="s">
        <v>372</v>
      </c>
      <c r="B55" s="44" t="s">
        <v>1679</v>
      </c>
      <c r="C55" s="44" t="s">
        <v>1479</v>
      </c>
      <c r="D55" s="44" t="s">
        <v>1199</v>
      </c>
      <c r="E55" s="44" t="s">
        <v>373</v>
      </c>
      <c r="F55" s="44" t="s">
        <v>374</v>
      </c>
      <c r="G55" s="44" t="s">
        <v>375</v>
      </c>
      <c r="H55" s="44"/>
    </row>
    <row r="56" spans="1:8" ht="405">
      <c r="A56" s="60" t="s">
        <v>376</v>
      </c>
      <c r="B56" s="44" t="s">
        <v>1680</v>
      </c>
      <c r="C56" s="44" t="s">
        <v>1480</v>
      </c>
      <c r="D56" s="44" t="s">
        <v>2357</v>
      </c>
      <c r="E56" s="44" t="s">
        <v>377</v>
      </c>
      <c r="F56" s="44" t="s">
        <v>378</v>
      </c>
      <c r="G56" s="44" t="s">
        <v>2293</v>
      </c>
      <c r="H56" s="44"/>
    </row>
    <row r="57" spans="1:8" ht="15">
      <c r="A57" s="56" t="s">
        <v>6</v>
      </c>
      <c r="B57" s="57"/>
      <c r="C57" s="57"/>
      <c r="D57" s="57"/>
      <c r="E57" s="57"/>
      <c r="F57" s="57"/>
      <c r="G57" s="57"/>
      <c r="H57" s="58"/>
    </row>
    <row r="58" spans="1:8" ht="285">
      <c r="A58" s="60" t="s">
        <v>379</v>
      </c>
      <c r="B58" s="44" t="s">
        <v>1634</v>
      </c>
      <c r="C58" s="44" t="s">
        <v>1481</v>
      </c>
      <c r="D58" s="44" t="s">
        <v>1367</v>
      </c>
      <c r="E58" s="44" t="s">
        <v>380</v>
      </c>
      <c r="F58" s="44" t="s">
        <v>381</v>
      </c>
      <c r="G58" s="41" t="s">
        <v>1267</v>
      </c>
      <c r="H58" s="41"/>
    </row>
    <row r="59" spans="1:8" ht="210">
      <c r="A59" s="60" t="s">
        <v>382</v>
      </c>
      <c r="B59" s="44" t="s">
        <v>1635</v>
      </c>
      <c r="C59" s="44" t="s">
        <v>1482</v>
      </c>
      <c r="D59" s="44" t="s">
        <v>1304</v>
      </c>
      <c r="E59" s="44" t="s">
        <v>383</v>
      </c>
      <c r="F59" s="44" t="s">
        <v>384</v>
      </c>
      <c r="G59" s="41" t="s">
        <v>1305</v>
      </c>
      <c r="H59" s="41"/>
    </row>
    <row r="60" spans="1:8" ht="285">
      <c r="A60" s="60" t="s">
        <v>385</v>
      </c>
      <c r="B60" s="44" t="s">
        <v>1753</v>
      </c>
      <c r="C60" s="44" t="s">
        <v>1483</v>
      </c>
      <c r="D60" s="44" t="s">
        <v>1368</v>
      </c>
      <c r="E60" s="44" t="s">
        <v>386</v>
      </c>
      <c r="F60" s="44" t="s">
        <v>387</v>
      </c>
      <c r="G60" s="41" t="s">
        <v>1369</v>
      </c>
      <c r="H60" s="41"/>
    </row>
    <row r="61" spans="1:8" ht="210">
      <c r="A61" s="60" t="s">
        <v>388</v>
      </c>
      <c r="B61" s="44" t="s">
        <v>389</v>
      </c>
      <c r="C61" s="44" t="s">
        <v>1484</v>
      </c>
      <c r="D61" s="44" t="s">
        <v>1200</v>
      </c>
      <c r="E61" s="44" t="s">
        <v>390</v>
      </c>
      <c r="F61" s="44" t="s">
        <v>391</v>
      </c>
      <c r="G61" s="41" t="s">
        <v>1201</v>
      </c>
      <c r="H61" s="41"/>
    </row>
    <row r="62" spans="1:8" ht="405">
      <c r="A62" s="60" t="s">
        <v>392</v>
      </c>
      <c r="B62" s="83" t="s">
        <v>393</v>
      </c>
      <c r="C62" s="44" t="s">
        <v>1485</v>
      </c>
      <c r="D62" s="44" t="s">
        <v>2358</v>
      </c>
      <c r="E62" s="44" t="s">
        <v>1306</v>
      </c>
      <c r="F62" s="44" t="s">
        <v>394</v>
      </c>
      <c r="G62" s="44" t="s">
        <v>2294</v>
      </c>
      <c r="H62" s="83"/>
    </row>
    <row r="63" spans="1:8" ht="18.75">
      <c r="A63" s="84"/>
      <c r="B63" s="45"/>
      <c r="C63" s="45"/>
      <c r="D63" s="45"/>
      <c r="E63" s="69"/>
      <c r="F63" s="69"/>
      <c r="G63" s="69"/>
      <c r="H63" s="69"/>
    </row>
    <row r="64" spans="1:8" ht="18.75">
      <c r="A64" s="85" t="s">
        <v>395</v>
      </c>
      <c r="B64" s="46"/>
      <c r="C64" s="46"/>
      <c r="D64" s="46"/>
      <c r="E64" s="86"/>
      <c r="F64" s="86"/>
      <c r="G64" s="86"/>
      <c r="H64" s="86"/>
    </row>
    <row r="65" spans="1:8" ht="15">
      <c r="A65" s="87" t="s">
        <v>3</v>
      </c>
      <c r="B65" s="88"/>
      <c r="C65" s="88"/>
      <c r="D65" s="89"/>
      <c r="E65" s="88"/>
      <c r="F65" s="89"/>
      <c r="G65" s="89"/>
      <c r="H65" s="89"/>
    </row>
    <row r="66" spans="1:8" ht="210">
      <c r="A66" s="66" t="s">
        <v>396</v>
      </c>
      <c r="B66" s="63" t="s">
        <v>1754</v>
      </c>
      <c r="C66" s="63" t="s">
        <v>1486</v>
      </c>
      <c r="D66" s="63" t="s">
        <v>1370</v>
      </c>
      <c r="E66" s="63" t="s">
        <v>397</v>
      </c>
      <c r="F66" s="63" t="s">
        <v>398</v>
      </c>
      <c r="G66" s="90" t="s">
        <v>399</v>
      </c>
      <c r="H66" s="63" t="s">
        <v>400</v>
      </c>
    </row>
    <row r="67" spans="1:8" ht="15">
      <c r="A67" s="87" t="s">
        <v>4</v>
      </c>
      <c r="B67" s="88"/>
      <c r="C67" s="88"/>
      <c r="D67" s="89"/>
      <c r="E67" s="88"/>
      <c r="F67" s="89"/>
      <c r="G67" s="89"/>
      <c r="H67" s="89"/>
    </row>
    <row r="68" spans="1:8" ht="270">
      <c r="A68" s="66" t="s">
        <v>401</v>
      </c>
      <c r="B68" s="91" t="s">
        <v>1636</v>
      </c>
      <c r="C68" s="63" t="s">
        <v>1487</v>
      </c>
      <c r="D68" s="63" t="s">
        <v>1371</v>
      </c>
      <c r="E68" s="63" t="s">
        <v>402</v>
      </c>
      <c r="F68" s="63" t="s">
        <v>403</v>
      </c>
      <c r="G68" s="90" t="s">
        <v>1741</v>
      </c>
      <c r="H68" s="63" t="s">
        <v>400</v>
      </c>
    </row>
    <row r="69" spans="1:8" ht="210">
      <c r="A69" s="60" t="s">
        <v>404</v>
      </c>
      <c r="B69" s="44" t="s">
        <v>405</v>
      </c>
      <c r="C69" s="92" t="s">
        <v>1488</v>
      </c>
      <c r="D69" s="44" t="s">
        <v>1186</v>
      </c>
      <c r="E69" s="44" t="s">
        <v>406</v>
      </c>
      <c r="F69" s="44" t="s">
        <v>407</v>
      </c>
      <c r="G69" s="44" t="s">
        <v>1372</v>
      </c>
      <c r="H69" s="44" t="s">
        <v>400</v>
      </c>
    </row>
    <row r="70" spans="1:8" ht="15">
      <c r="A70" s="87" t="s">
        <v>6</v>
      </c>
      <c r="B70" s="88"/>
      <c r="C70" s="88"/>
      <c r="D70" s="89"/>
      <c r="E70" s="88"/>
      <c r="F70" s="89"/>
      <c r="G70" s="89"/>
      <c r="H70" s="89"/>
    </row>
    <row r="71" spans="1:8" ht="315">
      <c r="A71" s="66" t="s">
        <v>408</v>
      </c>
      <c r="B71" s="63" t="s">
        <v>1637</v>
      </c>
      <c r="C71" s="63" t="s">
        <v>1489</v>
      </c>
      <c r="D71" s="63" t="s">
        <v>2354</v>
      </c>
      <c r="E71" s="63" t="s">
        <v>409</v>
      </c>
      <c r="F71" s="63" t="s">
        <v>410</v>
      </c>
      <c r="G71" s="90" t="s">
        <v>2295</v>
      </c>
      <c r="H71" s="63" t="s">
        <v>400</v>
      </c>
    </row>
    <row r="72" spans="1:8" ht="30">
      <c r="A72" s="93" t="s">
        <v>411</v>
      </c>
      <c r="B72" s="94" t="s">
        <v>412</v>
      </c>
      <c r="C72" s="95"/>
      <c r="D72" s="95"/>
      <c r="E72" s="95"/>
      <c r="F72" s="95"/>
      <c r="G72" s="63" t="s">
        <v>413</v>
      </c>
      <c r="H72" s="95"/>
    </row>
    <row r="73" spans="1:8" ht="210">
      <c r="A73" s="60" t="s">
        <v>414</v>
      </c>
      <c r="B73" s="65"/>
      <c r="C73" s="43" t="s">
        <v>1490</v>
      </c>
      <c r="D73" s="44" t="s">
        <v>415</v>
      </c>
      <c r="E73" s="44" t="s">
        <v>416</v>
      </c>
      <c r="F73" s="44" t="s">
        <v>417</v>
      </c>
      <c r="G73" s="96" t="s">
        <v>418</v>
      </c>
      <c r="H73" s="44" t="s">
        <v>419</v>
      </c>
    </row>
    <row r="74" spans="1:8" ht="15">
      <c r="A74" s="87" t="s">
        <v>7</v>
      </c>
      <c r="B74" s="88"/>
      <c r="C74" s="88"/>
      <c r="D74" s="89"/>
      <c r="E74" s="88"/>
      <c r="F74" s="89"/>
      <c r="G74" s="89"/>
      <c r="H74" s="89"/>
    </row>
    <row r="75" spans="1:8" ht="30">
      <c r="A75" s="66" t="s">
        <v>420</v>
      </c>
      <c r="B75" s="63" t="s">
        <v>421</v>
      </c>
      <c r="C75" s="62"/>
      <c r="D75" s="62"/>
      <c r="E75" s="62"/>
      <c r="F75" s="62"/>
      <c r="G75" s="41" t="s">
        <v>422</v>
      </c>
      <c r="H75" s="62"/>
    </row>
    <row r="76" spans="1:8" ht="330">
      <c r="A76" s="60" t="s">
        <v>423</v>
      </c>
      <c r="B76" s="65"/>
      <c r="C76" s="44" t="s">
        <v>1491</v>
      </c>
      <c r="D76" s="44" t="s">
        <v>2355</v>
      </c>
      <c r="E76" s="44" t="s">
        <v>424</v>
      </c>
      <c r="F76" s="44" t="s">
        <v>425</v>
      </c>
      <c r="G76" s="68" t="s">
        <v>1742</v>
      </c>
      <c r="H76" s="44" t="s">
        <v>400</v>
      </c>
    </row>
    <row r="77" spans="1:8" ht="225">
      <c r="A77" s="60" t="s">
        <v>426</v>
      </c>
      <c r="B77" s="65"/>
      <c r="C77" s="44" t="s">
        <v>1492</v>
      </c>
      <c r="D77" s="44" t="s">
        <v>427</v>
      </c>
      <c r="E77" s="44" t="s">
        <v>428</v>
      </c>
      <c r="F77" s="44" t="s">
        <v>429</v>
      </c>
      <c r="G77" s="68" t="s">
        <v>1743</v>
      </c>
      <c r="H77" s="65"/>
    </row>
    <row r="78" spans="1:8" ht="15">
      <c r="A78" s="97"/>
      <c r="B78" s="75"/>
      <c r="C78" s="75"/>
      <c r="D78" s="75"/>
      <c r="E78" s="75"/>
      <c r="F78" s="75"/>
      <c r="G78" s="75"/>
      <c r="H78" s="75"/>
    </row>
    <row r="79" spans="1:8" ht="18.75">
      <c r="A79" s="70" t="s">
        <v>430</v>
      </c>
      <c r="B79" s="42"/>
      <c r="C79" s="42"/>
      <c r="D79" s="42"/>
      <c r="E79" s="74"/>
      <c r="F79" s="74"/>
      <c r="G79" s="74"/>
      <c r="H79" s="74"/>
    </row>
    <row r="81" spans="1:8" ht="225">
      <c r="A81" s="66" t="s">
        <v>431</v>
      </c>
      <c r="B81" s="63"/>
      <c r="C81" s="41" t="s">
        <v>1493</v>
      </c>
      <c r="D81" s="62"/>
      <c r="E81" s="63"/>
      <c r="F81" s="62"/>
      <c r="G81" s="99" t="s">
        <v>1610</v>
      </c>
      <c r="H81" s="41" t="s">
        <v>432</v>
      </c>
    </row>
    <row r="82" spans="1:8" ht="210">
      <c r="A82" s="60" t="s">
        <v>433</v>
      </c>
      <c r="B82" s="63"/>
      <c r="C82" s="37" t="s">
        <v>1494</v>
      </c>
      <c r="D82" s="63"/>
      <c r="E82" s="63"/>
      <c r="F82" s="63"/>
      <c r="G82" s="100" t="s">
        <v>434</v>
      </c>
      <c r="H82" s="37" t="s">
        <v>435</v>
      </c>
    </row>
    <row r="83" spans="1:8" ht="195">
      <c r="A83" s="60" t="s">
        <v>436</v>
      </c>
      <c r="B83" s="65"/>
      <c r="C83" s="37" t="s">
        <v>1495</v>
      </c>
      <c r="D83" s="65"/>
      <c r="E83" s="65"/>
      <c r="F83" s="65"/>
      <c r="G83" s="100" t="s">
        <v>437</v>
      </c>
      <c r="H83" s="37" t="s">
        <v>438</v>
      </c>
    </row>
    <row r="84" spans="1:8" ht="240">
      <c r="A84" s="60" t="s">
        <v>439</v>
      </c>
      <c r="B84" s="65"/>
      <c r="C84" s="37" t="s">
        <v>1496</v>
      </c>
      <c r="D84" s="65"/>
      <c r="E84" s="65"/>
      <c r="F84" s="65"/>
      <c r="G84" s="100" t="s">
        <v>440</v>
      </c>
      <c r="H84" s="37" t="s">
        <v>441</v>
      </c>
    </row>
    <row r="85" spans="1:8" ht="195">
      <c r="A85" s="60" t="s">
        <v>442</v>
      </c>
      <c r="B85" s="65"/>
      <c r="C85" s="64"/>
      <c r="D85" s="44"/>
      <c r="E85" s="44"/>
      <c r="F85" s="44"/>
      <c r="G85" s="100" t="s">
        <v>443</v>
      </c>
      <c r="H85" s="37" t="s">
        <v>444</v>
      </c>
    </row>
    <row r="86" spans="1:8" ht="225">
      <c r="A86" s="60" t="s">
        <v>445</v>
      </c>
      <c r="B86" s="65"/>
      <c r="C86" s="37" t="s">
        <v>1497</v>
      </c>
      <c r="D86" s="44"/>
      <c r="E86" s="44"/>
      <c r="F86" s="44"/>
      <c r="G86" s="101" t="s">
        <v>1246</v>
      </c>
      <c r="H86" s="37" t="s">
        <v>446</v>
      </c>
    </row>
    <row r="87" spans="1:8" ht="210">
      <c r="A87" s="60" t="s">
        <v>447</v>
      </c>
      <c r="B87" s="65"/>
      <c r="C87" s="37" t="s">
        <v>1498</v>
      </c>
      <c r="D87" s="65"/>
      <c r="E87" s="44"/>
      <c r="F87" s="44"/>
      <c r="G87" s="37" t="s">
        <v>448</v>
      </c>
      <c r="H87" s="64"/>
    </row>
    <row r="88" spans="1:8" ht="210">
      <c r="A88" s="60" t="s">
        <v>449</v>
      </c>
      <c r="B88" s="44"/>
      <c r="C88" s="37" t="s">
        <v>1499</v>
      </c>
      <c r="D88" s="44"/>
      <c r="E88" s="44"/>
      <c r="F88" s="44"/>
      <c r="G88" s="37" t="s">
        <v>445</v>
      </c>
      <c r="H88" s="64"/>
    </row>
    <row r="89" spans="1:8" ht="390">
      <c r="A89" s="60" t="s">
        <v>450</v>
      </c>
      <c r="B89" s="69"/>
      <c r="C89" s="37" t="s">
        <v>1500</v>
      </c>
      <c r="D89" s="74"/>
      <c r="E89" s="74"/>
      <c r="F89" s="74"/>
      <c r="G89" s="37" t="s">
        <v>451</v>
      </c>
      <c r="H89" s="64"/>
    </row>
    <row r="90" spans="1:8" ht="255">
      <c r="A90" s="60" t="s">
        <v>452</v>
      </c>
      <c r="B90" s="63"/>
      <c r="C90" s="37" t="s">
        <v>1501</v>
      </c>
      <c r="D90" s="41"/>
      <c r="E90" s="41"/>
      <c r="F90" s="41"/>
      <c r="G90" s="100" t="s">
        <v>453</v>
      </c>
      <c r="H90" s="100" t="s">
        <v>454</v>
      </c>
    </row>
    <row r="91" spans="1:8" ht="15">
      <c r="A91" s="60" t="s">
        <v>455</v>
      </c>
      <c r="B91" s="44"/>
      <c r="C91" s="64"/>
      <c r="D91" s="41"/>
      <c r="E91" s="41"/>
      <c r="F91" s="41"/>
      <c r="G91" s="64"/>
      <c r="H91" s="64"/>
    </row>
    <row r="92" spans="1:8" ht="195">
      <c r="A92" s="60" t="s">
        <v>456</v>
      </c>
      <c r="B92" s="102"/>
      <c r="C92" s="37" t="s">
        <v>1502</v>
      </c>
      <c r="D92" s="61"/>
      <c r="E92" s="61"/>
      <c r="F92" s="61"/>
      <c r="G92" s="100" t="s">
        <v>457</v>
      </c>
      <c r="H92" s="37" t="s">
        <v>458</v>
      </c>
    </row>
    <row r="93" spans="1:8" ht="210">
      <c r="A93" s="60" t="s">
        <v>459</v>
      </c>
      <c r="B93" s="65"/>
      <c r="C93" s="37" t="s">
        <v>1503</v>
      </c>
      <c r="D93" s="44"/>
      <c r="E93" s="44"/>
      <c r="F93" s="44"/>
      <c r="G93" s="100" t="s">
        <v>460</v>
      </c>
      <c r="H93" s="37" t="s">
        <v>461</v>
      </c>
    </row>
    <row r="94" spans="1:8" ht="255">
      <c r="A94" s="60" t="s">
        <v>413</v>
      </c>
      <c r="B94" s="63"/>
      <c r="C94" s="37" t="s">
        <v>1504</v>
      </c>
      <c r="D94" s="63"/>
      <c r="E94" s="63"/>
      <c r="F94" s="63"/>
      <c r="G94" s="100" t="s">
        <v>462</v>
      </c>
      <c r="H94" s="37" t="s">
        <v>1773</v>
      </c>
    </row>
    <row r="95" spans="1:8" ht="270">
      <c r="A95" s="60" t="s">
        <v>463</v>
      </c>
      <c r="B95" s="69"/>
      <c r="C95" s="41" t="s">
        <v>1505</v>
      </c>
      <c r="D95" s="74"/>
      <c r="E95" s="74"/>
      <c r="F95" s="74"/>
      <c r="G95" s="103" t="s">
        <v>1611</v>
      </c>
      <c r="H95" s="37" t="s">
        <v>1773</v>
      </c>
    </row>
    <row r="96" spans="1:8" ht="300">
      <c r="A96" s="60" t="s">
        <v>422</v>
      </c>
      <c r="B96" s="41"/>
      <c r="C96" s="37" t="s">
        <v>1506</v>
      </c>
      <c r="D96" s="63"/>
      <c r="E96" s="63"/>
      <c r="F96" s="63"/>
      <c r="G96" s="100" t="s">
        <v>464</v>
      </c>
      <c r="H96" s="37" t="s">
        <v>1773</v>
      </c>
    </row>
    <row r="97" spans="1:8" ht="30">
      <c r="A97" s="60" t="s">
        <v>465</v>
      </c>
      <c r="B97" s="104"/>
      <c r="C97" s="64"/>
      <c r="D97" s="63"/>
      <c r="E97" s="63"/>
      <c r="F97" s="63"/>
      <c r="G97" s="37" t="s">
        <v>466</v>
      </c>
      <c r="H97" s="64"/>
    </row>
    <row r="98" spans="1:8" ht="18.75">
      <c r="A98" s="105"/>
      <c r="B98" s="106"/>
      <c r="C98" s="106"/>
      <c r="D98" s="106"/>
      <c r="E98" s="107"/>
      <c r="F98" s="107"/>
      <c r="G98" s="107"/>
      <c r="H98" s="107"/>
    </row>
    <row r="99" spans="1:8" ht="18.75">
      <c r="A99" s="70" t="s">
        <v>467</v>
      </c>
      <c r="B99" s="42"/>
      <c r="C99" s="42"/>
      <c r="D99" s="42"/>
      <c r="E99" s="74"/>
      <c r="F99" s="74"/>
      <c r="G99" s="74"/>
      <c r="H99" s="74"/>
    </row>
    <row r="100" spans="1:8" ht="15">
      <c r="A100" s="87" t="s">
        <v>468</v>
      </c>
      <c r="B100" s="88"/>
      <c r="C100" s="59"/>
      <c r="D100" s="89"/>
      <c r="E100" s="88"/>
      <c r="F100" s="89"/>
      <c r="G100" s="98"/>
      <c r="H100" s="59"/>
    </row>
    <row r="101" spans="1:8" ht="210">
      <c r="A101" s="66" t="s">
        <v>469</v>
      </c>
      <c r="B101" s="62"/>
      <c r="C101" s="41" t="s">
        <v>1507</v>
      </c>
      <c r="D101" s="42"/>
      <c r="E101" s="74"/>
      <c r="F101" s="74"/>
      <c r="G101" s="41" t="s">
        <v>470</v>
      </c>
      <c r="H101" s="41" t="s">
        <v>471</v>
      </c>
    </row>
    <row r="102" spans="1:8" ht="105">
      <c r="A102" s="60" t="s">
        <v>472</v>
      </c>
      <c r="B102" s="65"/>
      <c r="C102" s="64"/>
      <c r="D102" s="42"/>
      <c r="E102" s="74"/>
      <c r="F102" s="74"/>
      <c r="G102" s="41" t="s">
        <v>1373</v>
      </c>
      <c r="H102" s="61"/>
    </row>
    <row r="103" spans="1:8" ht="15">
      <c r="A103" s="87" t="s">
        <v>473</v>
      </c>
      <c r="B103" s="88"/>
      <c r="C103" s="59"/>
      <c r="D103" s="89"/>
      <c r="E103" s="88"/>
      <c r="F103" s="89"/>
      <c r="G103" s="98"/>
      <c r="H103" s="59"/>
    </row>
    <row r="104" spans="1:8" ht="210">
      <c r="A104" s="66" t="s">
        <v>474</v>
      </c>
      <c r="B104" s="42"/>
      <c r="C104" s="41" t="s">
        <v>1508</v>
      </c>
      <c r="D104" s="42"/>
      <c r="E104" s="74"/>
      <c r="F104" s="74"/>
      <c r="G104" s="108" t="s">
        <v>475</v>
      </c>
      <c r="H104" s="41" t="s">
        <v>476</v>
      </c>
    </row>
    <row r="105" spans="1:8" ht="210">
      <c r="A105" s="60" t="s">
        <v>477</v>
      </c>
      <c r="B105" s="42"/>
      <c r="C105" s="41" t="s">
        <v>1509</v>
      </c>
      <c r="D105" s="42"/>
      <c r="E105" s="74"/>
      <c r="F105" s="74"/>
      <c r="G105" s="41" t="s">
        <v>478</v>
      </c>
      <c r="H105" s="41" t="s">
        <v>476</v>
      </c>
    </row>
    <row r="106" spans="1:8" ht="210">
      <c r="A106" s="60" t="s">
        <v>479</v>
      </c>
      <c r="B106" s="42"/>
      <c r="C106" s="41" t="s">
        <v>1510</v>
      </c>
      <c r="D106" s="42"/>
      <c r="E106" s="74"/>
      <c r="F106" s="74"/>
      <c r="G106" s="30" t="s">
        <v>480</v>
      </c>
      <c r="H106" s="41" t="s">
        <v>476</v>
      </c>
    </row>
    <row r="107" spans="1:8" ht="15">
      <c r="A107" s="87" t="s">
        <v>481</v>
      </c>
      <c r="B107" s="88"/>
      <c r="C107" s="59"/>
      <c r="D107" s="89"/>
      <c r="E107" s="88"/>
      <c r="F107" s="89"/>
      <c r="G107" s="98"/>
      <c r="H107" s="59"/>
    </row>
    <row r="108" spans="1:8" ht="195">
      <c r="A108" s="66" t="s">
        <v>482</v>
      </c>
      <c r="B108" s="42"/>
      <c r="C108" s="41" t="s">
        <v>1511</v>
      </c>
      <c r="D108" s="42"/>
      <c r="E108" s="74"/>
      <c r="F108" s="74"/>
      <c r="G108" s="108" t="s">
        <v>483</v>
      </c>
      <c r="H108" s="41" t="s">
        <v>484</v>
      </c>
    </row>
    <row r="109" spans="1:8" ht="195">
      <c r="A109" s="60" t="s">
        <v>485</v>
      </c>
      <c r="B109" s="42"/>
      <c r="C109" s="41" t="s">
        <v>1512</v>
      </c>
      <c r="D109" s="42"/>
      <c r="E109" s="74"/>
      <c r="F109" s="74"/>
      <c r="G109" s="108" t="s">
        <v>486</v>
      </c>
      <c r="H109" s="30" t="s">
        <v>484</v>
      </c>
    </row>
    <row r="110" spans="1:8" ht="195">
      <c r="A110" s="60" t="s">
        <v>487</v>
      </c>
      <c r="B110" s="42"/>
      <c r="C110" s="41" t="s">
        <v>1513</v>
      </c>
      <c r="D110" s="42"/>
      <c r="E110" s="74"/>
      <c r="F110" s="74"/>
      <c r="G110" s="108" t="s">
        <v>488</v>
      </c>
      <c r="H110" s="30" t="s">
        <v>489</v>
      </c>
    </row>
    <row r="111" spans="1:8" ht="15">
      <c r="A111" s="109" t="s">
        <v>490</v>
      </c>
      <c r="B111" s="110"/>
      <c r="C111" s="110"/>
      <c r="D111" s="110"/>
      <c r="E111" s="110"/>
      <c r="F111" s="110"/>
      <c r="G111" s="111"/>
      <c r="H111" s="111"/>
    </row>
    <row r="112" spans="1:8" ht="210">
      <c r="A112" s="66" t="s">
        <v>491</v>
      </c>
      <c r="B112" s="42"/>
      <c r="C112" s="41" t="s">
        <v>1514</v>
      </c>
      <c r="D112" s="42"/>
      <c r="E112" s="74"/>
      <c r="F112" s="74"/>
      <c r="G112" s="108" t="s">
        <v>492</v>
      </c>
      <c r="H112" s="41" t="s">
        <v>493</v>
      </c>
    </row>
    <row r="113" spans="1:8" ht="210">
      <c r="A113" s="60" t="s">
        <v>494</v>
      </c>
      <c r="B113" s="42"/>
      <c r="C113" s="41" t="s">
        <v>1515</v>
      </c>
      <c r="D113" s="42"/>
      <c r="E113" s="74"/>
      <c r="F113" s="74"/>
      <c r="G113" s="41" t="s">
        <v>495</v>
      </c>
      <c r="H113" s="41" t="s">
        <v>493</v>
      </c>
    </row>
    <row r="114" spans="1:8" ht="15">
      <c r="A114" s="109" t="s">
        <v>496</v>
      </c>
      <c r="B114" s="110"/>
      <c r="C114" s="110"/>
      <c r="D114" s="110"/>
      <c r="E114" s="110"/>
      <c r="F114" s="110"/>
      <c r="G114" s="111"/>
      <c r="H114" s="111"/>
    </row>
    <row r="115" spans="1:8" ht="210">
      <c r="A115" s="66" t="s">
        <v>497</v>
      </c>
      <c r="B115" s="42"/>
      <c r="C115" s="41" t="s">
        <v>1516</v>
      </c>
      <c r="D115" s="42"/>
      <c r="E115" s="74"/>
      <c r="F115" s="74"/>
      <c r="G115" s="108" t="s">
        <v>498</v>
      </c>
      <c r="H115" s="41" t="s">
        <v>499</v>
      </c>
    </row>
    <row r="116" spans="1:8" ht="60">
      <c r="A116" s="66" t="s">
        <v>500</v>
      </c>
      <c r="B116" s="42"/>
      <c r="C116" s="61"/>
      <c r="D116" s="42"/>
      <c r="E116" s="74"/>
      <c r="F116" s="74"/>
      <c r="G116" s="112" t="s">
        <v>501</v>
      </c>
      <c r="H116" s="74"/>
    </row>
    <row r="117" spans="1:8" ht="15">
      <c r="A117" s="109" t="s">
        <v>502</v>
      </c>
      <c r="B117" s="110"/>
      <c r="C117" s="110"/>
      <c r="D117" s="110"/>
      <c r="E117" s="110"/>
      <c r="F117" s="110"/>
      <c r="G117" s="111"/>
      <c r="H117" s="111"/>
    </row>
    <row r="118" spans="1:8" ht="270">
      <c r="A118" s="66" t="s">
        <v>503</v>
      </c>
      <c r="B118" s="42"/>
      <c r="C118" s="41" t="s">
        <v>1517</v>
      </c>
      <c r="D118" s="42"/>
      <c r="E118" s="74"/>
      <c r="F118" s="74"/>
      <c r="G118" s="108" t="s">
        <v>1755</v>
      </c>
      <c r="H118" s="41" t="s">
        <v>504</v>
      </c>
    </row>
    <row r="119" spans="1:8" ht="165">
      <c r="A119" s="66" t="s">
        <v>505</v>
      </c>
      <c r="B119" s="42"/>
      <c r="C119" s="42"/>
      <c r="D119" s="42"/>
      <c r="E119" s="74"/>
      <c r="F119" s="74"/>
      <c r="G119" s="41" t="s">
        <v>506</v>
      </c>
      <c r="H119" s="74"/>
    </row>
    <row r="120" spans="1:8" ht="15">
      <c r="A120" s="109" t="s">
        <v>507</v>
      </c>
      <c r="B120" s="110"/>
      <c r="C120" s="110"/>
      <c r="D120" s="110"/>
      <c r="E120" s="110"/>
      <c r="F120" s="110"/>
      <c r="G120" s="111"/>
      <c r="H120" s="111"/>
    </row>
    <row r="121" spans="1:8" ht="210">
      <c r="A121" s="66" t="s">
        <v>508</v>
      </c>
      <c r="B121" s="42"/>
      <c r="C121" s="41" t="s">
        <v>1518</v>
      </c>
      <c r="D121" s="42"/>
      <c r="E121" s="74"/>
      <c r="F121" s="74"/>
      <c r="G121" s="108" t="s">
        <v>509</v>
      </c>
      <c r="H121" s="41" t="s">
        <v>510</v>
      </c>
    </row>
    <row r="122" spans="1:8" ht="18.75">
      <c r="A122" s="105"/>
      <c r="B122" s="106"/>
      <c r="C122" s="106"/>
      <c r="D122" s="106"/>
      <c r="E122" s="107"/>
      <c r="F122" s="107"/>
      <c r="G122" s="107"/>
      <c r="H122" s="107"/>
    </row>
    <row r="123" spans="1:8" ht="18.75">
      <c r="A123" s="70" t="s">
        <v>511</v>
      </c>
      <c r="B123" s="42"/>
      <c r="C123" s="42"/>
      <c r="D123" s="42"/>
      <c r="E123" s="74"/>
      <c r="F123" s="74"/>
      <c r="G123" s="74"/>
      <c r="H123" s="74"/>
    </row>
    <row r="124" spans="1:8" ht="15">
      <c r="A124" s="87" t="s">
        <v>512</v>
      </c>
      <c r="B124" s="88"/>
      <c r="C124" s="88"/>
      <c r="D124" s="89"/>
      <c r="E124" s="88"/>
      <c r="F124" s="89"/>
      <c r="G124" s="89"/>
      <c r="H124" s="89"/>
    </row>
    <row r="125" spans="1:8" ht="210">
      <c r="A125" s="66" t="s">
        <v>513</v>
      </c>
      <c r="B125" s="63" t="s">
        <v>514</v>
      </c>
      <c r="C125" s="63" t="s">
        <v>1519</v>
      </c>
      <c r="D125" s="63" t="s">
        <v>1187</v>
      </c>
      <c r="E125" s="63" t="s">
        <v>515</v>
      </c>
      <c r="F125" s="63" t="s">
        <v>516</v>
      </c>
      <c r="G125" s="62"/>
      <c r="H125" s="62"/>
    </row>
    <row r="126" spans="1:8" ht="15">
      <c r="A126" s="60" t="s">
        <v>517</v>
      </c>
      <c r="B126" s="65"/>
      <c r="C126" s="65"/>
      <c r="D126" s="65"/>
      <c r="E126" s="65"/>
      <c r="F126" s="65"/>
      <c r="G126" s="65"/>
      <c r="H126" s="65"/>
    </row>
    <row r="127" spans="1:8" ht="15">
      <c r="A127" s="60" t="s">
        <v>518</v>
      </c>
      <c r="B127" s="65"/>
      <c r="C127" s="65"/>
      <c r="D127" s="65"/>
      <c r="E127" s="65"/>
      <c r="F127" s="65"/>
      <c r="G127" s="65"/>
      <c r="H127" s="65"/>
    </row>
    <row r="128" spans="1:8" ht="210">
      <c r="A128" s="60" t="s">
        <v>519</v>
      </c>
      <c r="B128" s="65"/>
      <c r="C128" s="44" t="s">
        <v>1520</v>
      </c>
      <c r="D128" s="44" t="s">
        <v>1307</v>
      </c>
      <c r="E128" s="44" t="s">
        <v>520</v>
      </c>
      <c r="F128" s="44" t="s">
        <v>521</v>
      </c>
      <c r="G128" s="44" t="s">
        <v>2</v>
      </c>
      <c r="H128" s="65"/>
    </row>
    <row r="129" spans="1:8" ht="210">
      <c r="A129" s="60" t="s">
        <v>522</v>
      </c>
      <c r="B129" s="65"/>
      <c r="C129" s="44" t="s">
        <v>1521</v>
      </c>
      <c r="D129" s="44" t="s">
        <v>1214</v>
      </c>
      <c r="E129" s="44" t="s">
        <v>523</v>
      </c>
      <c r="F129" s="44" t="s">
        <v>524</v>
      </c>
      <c r="G129" s="44" t="s">
        <v>1756</v>
      </c>
      <c r="H129" s="65"/>
    </row>
    <row r="130" spans="1:8" ht="210">
      <c r="A130" s="60" t="s">
        <v>525</v>
      </c>
      <c r="B130" s="65"/>
      <c r="C130" s="44" t="s">
        <v>1522</v>
      </c>
      <c r="D130" s="65"/>
      <c r="E130" s="44" t="s">
        <v>179</v>
      </c>
      <c r="F130" s="44" t="s">
        <v>526</v>
      </c>
      <c r="G130" s="65"/>
      <c r="H130" s="65"/>
    </row>
    <row r="131" spans="1:8" ht="165">
      <c r="A131" s="60" t="s">
        <v>527</v>
      </c>
      <c r="B131" s="44" t="s">
        <v>528</v>
      </c>
      <c r="C131" s="65"/>
      <c r="D131" s="44" t="s">
        <v>1374</v>
      </c>
      <c r="E131" s="44" t="s">
        <v>529</v>
      </c>
      <c r="F131" s="44" t="s">
        <v>530</v>
      </c>
      <c r="G131" s="68" t="s">
        <v>1375</v>
      </c>
      <c r="H131" s="65"/>
    </row>
    <row r="132" spans="1:8" ht="15">
      <c r="A132" s="56" t="s">
        <v>531</v>
      </c>
      <c r="B132" s="57"/>
      <c r="C132" s="57"/>
      <c r="D132" s="57"/>
      <c r="E132" s="57"/>
      <c r="F132" s="57"/>
      <c r="G132" s="57"/>
      <c r="H132" s="58"/>
    </row>
    <row r="133" spans="1:8" ht="375">
      <c r="A133" s="66" t="s">
        <v>532</v>
      </c>
      <c r="B133" s="63" t="s">
        <v>533</v>
      </c>
      <c r="C133" s="63" t="s">
        <v>1523</v>
      </c>
      <c r="D133" s="63" t="s">
        <v>1376</v>
      </c>
      <c r="E133" s="63" t="s">
        <v>534</v>
      </c>
      <c r="F133" s="63" t="s">
        <v>535</v>
      </c>
      <c r="G133" s="90" t="s">
        <v>1377</v>
      </c>
      <c r="H133" s="62"/>
    </row>
    <row r="134" spans="1:8" ht="210">
      <c r="A134" s="60" t="s">
        <v>536</v>
      </c>
      <c r="B134" s="44" t="s">
        <v>537</v>
      </c>
      <c r="C134" s="44" t="s">
        <v>1524</v>
      </c>
      <c r="D134" s="44" t="s">
        <v>1202</v>
      </c>
      <c r="E134" s="44" t="s">
        <v>538</v>
      </c>
      <c r="F134" s="44" t="s">
        <v>539</v>
      </c>
      <c r="G134" s="68" t="s">
        <v>1166</v>
      </c>
      <c r="H134" s="65"/>
    </row>
    <row r="135" spans="1:8" ht="15">
      <c r="A135" s="109" t="s">
        <v>540</v>
      </c>
      <c r="B135" s="110"/>
      <c r="C135" s="110"/>
      <c r="D135" s="110"/>
      <c r="E135" s="110"/>
      <c r="F135" s="110"/>
      <c r="G135" s="110"/>
      <c r="H135" s="111"/>
    </row>
    <row r="136" spans="1:8" ht="345">
      <c r="A136" s="60" t="s">
        <v>541</v>
      </c>
      <c r="B136" s="65"/>
      <c r="C136" s="65"/>
      <c r="D136" s="44" t="s">
        <v>1378</v>
      </c>
      <c r="E136" s="44" t="s">
        <v>542</v>
      </c>
      <c r="F136" s="44" t="s">
        <v>543</v>
      </c>
      <c r="G136" s="65"/>
      <c r="H136" s="95"/>
    </row>
    <row r="137" spans="1:8" ht="409.5">
      <c r="A137" s="60" t="s">
        <v>544</v>
      </c>
      <c r="B137" s="65"/>
      <c r="C137" s="44" t="s">
        <v>1525</v>
      </c>
      <c r="D137" s="44" t="s">
        <v>1379</v>
      </c>
      <c r="E137" s="44" t="s">
        <v>1308</v>
      </c>
      <c r="F137" s="44" t="s">
        <v>545</v>
      </c>
      <c r="G137" s="68" t="s">
        <v>1757</v>
      </c>
      <c r="H137" s="95"/>
    </row>
    <row r="138" spans="1:8" ht="225">
      <c r="A138" s="60" t="s">
        <v>546</v>
      </c>
      <c r="B138" s="65"/>
      <c r="C138" s="44" t="s">
        <v>1526</v>
      </c>
      <c r="D138" s="44" t="s">
        <v>1203</v>
      </c>
      <c r="E138" s="44" t="s">
        <v>547</v>
      </c>
      <c r="F138" s="44" t="s">
        <v>548</v>
      </c>
      <c r="G138" s="68" t="s">
        <v>1758</v>
      </c>
      <c r="H138" s="95"/>
    </row>
    <row r="139" spans="1:8" ht="409.5">
      <c r="A139" s="66" t="s">
        <v>549</v>
      </c>
      <c r="B139" s="63" t="s">
        <v>550</v>
      </c>
      <c r="C139" s="63" t="s">
        <v>1527</v>
      </c>
      <c r="D139" s="63" t="s">
        <v>2296</v>
      </c>
      <c r="E139" s="63" t="s">
        <v>551</v>
      </c>
      <c r="F139" s="63" t="s">
        <v>552</v>
      </c>
      <c r="G139" s="44" t="s">
        <v>2297</v>
      </c>
      <c r="H139" s="62"/>
    </row>
    <row r="140" spans="1:8" ht="15">
      <c r="A140" s="56" t="s">
        <v>553</v>
      </c>
      <c r="B140" s="57"/>
      <c r="C140" s="57"/>
      <c r="D140" s="57"/>
      <c r="E140" s="57"/>
      <c r="F140" s="57"/>
      <c r="G140" s="57"/>
      <c r="H140" s="58"/>
    </row>
    <row r="141" spans="1:8" ht="345">
      <c r="A141" s="60" t="s">
        <v>554</v>
      </c>
      <c r="B141" s="41" t="s">
        <v>555</v>
      </c>
      <c r="C141" s="63" t="s">
        <v>1528</v>
      </c>
      <c r="D141" s="63" t="s">
        <v>2298</v>
      </c>
      <c r="E141" s="63" t="s">
        <v>2356</v>
      </c>
      <c r="F141" s="63" t="s">
        <v>2359</v>
      </c>
      <c r="G141" s="63" t="s">
        <v>2299</v>
      </c>
      <c r="H141" s="113"/>
    </row>
    <row r="142" spans="1:8" ht="240">
      <c r="A142" s="60" t="s">
        <v>556</v>
      </c>
      <c r="B142" s="104"/>
      <c r="C142" s="63" t="s">
        <v>1529</v>
      </c>
      <c r="D142" s="63" t="s">
        <v>2300</v>
      </c>
      <c r="E142" s="63" t="s">
        <v>2301</v>
      </c>
      <c r="F142" s="63" t="s">
        <v>557</v>
      </c>
      <c r="G142" s="63" t="s">
        <v>2302</v>
      </c>
      <c r="H142" s="114"/>
    </row>
    <row r="143" spans="1:8" ht="315">
      <c r="A143" s="60" t="s">
        <v>1309</v>
      </c>
      <c r="B143" s="37" t="s">
        <v>1759</v>
      </c>
      <c r="C143" s="44" t="s">
        <v>1530</v>
      </c>
      <c r="D143" s="44" t="s">
        <v>2360</v>
      </c>
      <c r="E143" s="44" t="s">
        <v>2303</v>
      </c>
      <c r="F143" s="44" t="s">
        <v>2304</v>
      </c>
      <c r="G143" s="44" t="s">
        <v>2305</v>
      </c>
      <c r="H143" s="44" t="s">
        <v>558</v>
      </c>
    </row>
    <row r="144" spans="1:8" ht="300">
      <c r="A144" s="66" t="s">
        <v>1310</v>
      </c>
      <c r="B144" s="63" t="s">
        <v>1759</v>
      </c>
      <c r="C144" s="63" t="s">
        <v>1530</v>
      </c>
      <c r="D144" s="63" t="s">
        <v>2361</v>
      </c>
      <c r="E144" s="63" t="s">
        <v>2306</v>
      </c>
      <c r="F144" s="63" t="s">
        <v>2307</v>
      </c>
      <c r="G144" s="63" t="s">
        <v>2308</v>
      </c>
      <c r="H144" s="62"/>
    </row>
    <row r="145" spans="1:8" ht="345">
      <c r="A145" s="60" t="s">
        <v>1311</v>
      </c>
      <c r="B145" s="44" t="s">
        <v>1759</v>
      </c>
      <c r="C145" s="44" t="s">
        <v>1530</v>
      </c>
      <c r="D145" s="44" t="s">
        <v>2362</v>
      </c>
      <c r="E145" s="44" t="s">
        <v>559</v>
      </c>
      <c r="F145" s="44" t="s">
        <v>560</v>
      </c>
      <c r="G145" s="44" t="s">
        <v>2309</v>
      </c>
      <c r="H145" s="65"/>
    </row>
    <row r="146" spans="1:8" ht="300">
      <c r="A146" s="60" t="s">
        <v>1312</v>
      </c>
      <c r="B146" s="44" t="s">
        <v>1759</v>
      </c>
      <c r="C146" s="44" t="s">
        <v>1530</v>
      </c>
      <c r="D146" s="44" t="s">
        <v>2310</v>
      </c>
      <c r="E146" s="44" t="s">
        <v>2311</v>
      </c>
      <c r="F146" s="44" t="s">
        <v>2312</v>
      </c>
      <c r="G146" s="44" t="s">
        <v>2313</v>
      </c>
      <c r="H146" s="65"/>
    </row>
    <row r="147" spans="1:8" ht="300">
      <c r="A147" s="60" t="s">
        <v>1313</v>
      </c>
      <c r="B147" s="44" t="s">
        <v>1759</v>
      </c>
      <c r="C147" s="44" t="s">
        <v>1530</v>
      </c>
      <c r="D147" s="44" t="s">
        <v>2363</v>
      </c>
      <c r="E147" s="44" t="s">
        <v>2306</v>
      </c>
      <c r="F147" s="44" t="s">
        <v>2314</v>
      </c>
      <c r="G147" s="44" t="s">
        <v>2315</v>
      </c>
      <c r="H147" s="65"/>
    </row>
    <row r="148" spans="1:8" ht="15">
      <c r="A148" s="97"/>
      <c r="B148" s="75"/>
      <c r="C148" s="75"/>
      <c r="D148" s="75"/>
      <c r="E148" s="75"/>
      <c r="F148" s="75"/>
      <c r="G148" s="75"/>
      <c r="H148" s="75"/>
    </row>
    <row r="149" spans="1:8" ht="18.75">
      <c r="A149" s="70" t="s">
        <v>561</v>
      </c>
      <c r="B149" s="42"/>
      <c r="C149" s="42"/>
      <c r="D149" s="42"/>
      <c r="E149" s="74"/>
      <c r="F149" s="74"/>
      <c r="G149" s="74"/>
      <c r="H149" s="74"/>
    </row>
    <row r="150" spans="1:8" ht="15">
      <c r="A150" s="87" t="s">
        <v>3</v>
      </c>
      <c r="B150" s="88"/>
      <c r="C150" s="88"/>
      <c r="D150" s="89"/>
      <c r="E150" s="88"/>
      <c r="F150" s="89"/>
      <c r="G150" s="89"/>
      <c r="H150" s="89"/>
    </row>
    <row r="151" spans="1:8" ht="120">
      <c r="A151" s="66" t="s">
        <v>562</v>
      </c>
      <c r="B151" s="62"/>
      <c r="C151" s="62"/>
      <c r="D151" s="62"/>
      <c r="E151" s="62"/>
      <c r="F151" s="62"/>
      <c r="G151" s="63" t="s">
        <v>563</v>
      </c>
      <c r="H151" s="62"/>
    </row>
    <row r="152" spans="1:8" ht="30">
      <c r="A152" s="60" t="s">
        <v>564</v>
      </c>
      <c r="B152" s="65"/>
      <c r="C152" s="65"/>
      <c r="D152" s="65"/>
      <c r="E152" s="65"/>
      <c r="F152" s="65"/>
      <c r="G152" s="44" t="s">
        <v>565</v>
      </c>
      <c r="H152" s="65"/>
    </row>
    <row r="153" spans="1:8" ht="15">
      <c r="A153" s="56" t="s">
        <v>4</v>
      </c>
      <c r="B153" s="57"/>
      <c r="C153" s="57"/>
      <c r="D153" s="57"/>
      <c r="E153" s="57"/>
      <c r="F153" s="57"/>
      <c r="G153" s="57"/>
      <c r="H153" s="58"/>
    </row>
    <row r="154" spans="1:8" ht="315">
      <c r="A154" s="66" t="s">
        <v>566</v>
      </c>
      <c r="B154" s="63" t="s">
        <v>1784</v>
      </c>
      <c r="C154" s="63" t="s">
        <v>1531</v>
      </c>
      <c r="D154" s="63" t="s">
        <v>1275</v>
      </c>
      <c r="E154" s="63" t="s">
        <v>567</v>
      </c>
      <c r="F154" s="63" t="s">
        <v>568</v>
      </c>
      <c r="G154" s="63" t="s">
        <v>2316</v>
      </c>
      <c r="H154" s="62"/>
    </row>
    <row r="155" spans="1:8" ht="255">
      <c r="A155" s="60" t="s">
        <v>569</v>
      </c>
      <c r="B155" s="44" t="s">
        <v>1785</v>
      </c>
      <c r="C155" s="44" t="s">
        <v>1532</v>
      </c>
      <c r="D155" s="44" t="s">
        <v>1167</v>
      </c>
      <c r="E155" s="44" t="s">
        <v>570</v>
      </c>
      <c r="F155" s="44" t="s">
        <v>571</v>
      </c>
      <c r="G155" s="44" t="s">
        <v>2317</v>
      </c>
      <c r="H155" s="65"/>
    </row>
    <row r="156" spans="1:8" ht="15">
      <c r="A156" s="109" t="s">
        <v>5</v>
      </c>
      <c r="B156" s="110"/>
      <c r="C156" s="110"/>
      <c r="D156" s="110"/>
      <c r="E156" s="110"/>
      <c r="F156" s="110"/>
      <c r="G156" s="110"/>
      <c r="H156" s="111"/>
    </row>
    <row r="157" spans="1:8" ht="30">
      <c r="A157" s="66" t="s">
        <v>572</v>
      </c>
      <c r="B157" s="63" t="s">
        <v>573</v>
      </c>
      <c r="C157" s="62"/>
      <c r="D157" s="62"/>
      <c r="E157" s="62"/>
      <c r="F157" s="62"/>
      <c r="G157" s="115" t="s">
        <v>574</v>
      </c>
      <c r="H157" s="62"/>
    </row>
    <row r="158" spans="1:8" ht="210">
      <c r="A158" s="60" t="s">
        <v>575</v>
      </c>
      <c r="B158" s="44" t="s">
        <v>1760</v>
      </c>
      <c r="C158" s="44" t="s">
        <v>1533</v>
      </c>
      <c r="D158" s="44" t="s">
        <v>2318</v>
      </c>
      <c r="E158" s="44" t="s">
        <v>576</v>
      </c>
      <c r="F158" s="44" t="s">
        <v>577</v>
      </c>
      <c r="G158" s="44" t="s">
        <v>1314</v>
      </c>
      <c r="H158" s="44" t="s">
        <v>510</v>
      </c>
    </row>
    <row r="159" spans="1:8" ht="210">
      <c r="A159" s="60" t="s">
        <v>578</v>
      </c>
      <c r="B159" s="44" t="s">
        <v>579</v>
      </c>
      <c r="C159" s="44" t="s">
        <v>1534</v>
      </c>
      <c r="D159" s="44" t="s">
        <v>580</v>
      </c>
      <c r="E159" s="44" t="s">
        <v>581</v>
      </c>
      <c r="F159" s="44" t="s">
        <v>582</v>
      </c>
      <c r="G159" s="44" t="s">
        <v>583</v>
      </c>
      <c r="H159" s="44" t="s">
        <v>584</v>
      </c>
    </row>
    <row r="160" spans="1:8" ht="30">
      <c r="A160" s="60" t="s">
        <v>585</v>
      </c>
      <c r="B160" s="65"/>
      <c r="C160" s="65"/>
      <c r="D160" s="65"/>
      <c r="E160" s="65"/>
      <c r="F160" s="65"/>
      <c r="G160" s="116" t="s">
        <v>586</v>
      </c>
      <c r="H160" s="65"/>
    </row>
    <row r="161" spans="1:8" ht="15">
      <c r="A161" s="56" t="s">
        <v>6</v>
      </c>
      <c r="B161" s="57"/>
      <c r="C161" s="57"/>
      <c r="D161" s="57"/>
      <c r="E161" s="57"/>
      <c r="F161" s="57"/>
      <c r="G161" s="57"/>
      <c r="H161" s="58"/>
    </row>
    <row r="162" spans="1:8" ht="210">
      <c r="A162" s="60" t="s">
        <v>587</v>
      </c>
      <c r="B162" s="41" t="s">
        <v>588</v>
      </c>
      <c r="C162" s="63" t="s">
        <v>1535</v>
      </c>
      <c r="D162" s="63" t="s">
        <v>2319</v>
      </c>
      <c r="E162" s="63" t="s">
        <v>589</v>
      </c>
      <c r="F162" s="63" t="s">
        <v>590</v>
      </c>
      <c r="G162" s="63" t="s">
        <v>1315</v>
      </c>
      <c r="H162" s="63" t="s">
        <v>591</v>
      </c>
    </row>
    <row r="163" spans="1:8" ht="15">
      <c r="A163" s="97"/>
      <c r="B163" s="75"/>
      <c r="C163" s="75"/>
      <c r="D163" s="75"/>
      <c r="E163" s="75"/>
      <c r="F163" s="75"/>
      <c r="G163" s="75"/>
      <c r="H163" s="75"/>
    </row>
    <row r="164" spans="1:8" ht="18.75">
      <c r="A164" s="70" t="s">
        <v>31</v>
      </c>
      <c r="B164" s="42"/>
      <c r="C164" s="42"/>
      <c r="D164" s="42"/>
      <c r="E164" s="74"/>
      <c r="F164" s="74"/>
      <c r="G164" s="74"/>
      <c r="H164" s="74"/>
    </row>
    <row r="165" spans="1:8" ht="15">
      <c r="A165" s="117" t="s">
        <v>3</v>
      </c>
      <c r="B165" s="118"/>
      <c r="C165" s="118"/>
      <c r="D165" s="118"/>
      <c r="E165" s="118"/>
      <c r="F165" s="118"/>
      <c r="G165" s="118"/>
      <c r="H165" s="89"/>
    </row>
    <row r="166" spans="1:8" ht="300">
      <c r="A166" s="60" t="s">
        <v>592</v>
      </c>
      <c r="B166" s="65"/>
      <c r="C166" s="44" t="s">
        <v>1536</v>
      </c>
      <c r="D166" s="44" t="s">
        <v>1316</v>
      </c>
      <c r="E166" s="44" t="s">
        <v>593</v>
      </c>
      <c r="F166" s="44" t="s">
        <v>594</v>
      </c>
      <c r="G166" s="68" t="s">
        <v>595</v>
      </c>
      <c r="H166" s="65"/>
    </row>
    <row r="167" spans="1:8" ht="210">
      <c r="A167" s="60" t="s">
        <v>596</v>
      </c>
      <c r="B167" s="65"/>
      <c r="C167" s="44" t="s">
        <v>1537</v>
      </c>
      <c r="D167" s="44" t="s">
        <v>1204</v>
      </c>
      <c r="E167" s="44" t="s">
        <v>597</v>
      </c>
      <c r="F167" s="44" t="s">
        <v>598</v>
      </c>
      <c r="G167" s="68" t="s">
        <v>599</v>
      </c>
      <c r="H167" s="65"/>
    </row>
    <row r="168" spans="1:8" ht="285">
      <c r="A168" s="60" t="s">
        <v>600</v>
      </c>
      <c r="B168" s="44"/>
      <c r="C168" s="44" t="s">
        <v>592</v>
      </c>
      <c r="D168" s="44" t="s">
        <v>1317</v>
      </c>
      <c r="E168" s="44" t="s">
        <v>593</v>
      </c>
      <c r="F168" s="44" t="s">
        <v>594</v>
      </c>
      <c r="G168" s="68" t="s">
        <v>601</v>
      </c>
      <c r="H168" s="65"/>
    </row>
    <row r="169" spans="1:8" ht="105">
      <c r="A169" s="60" t="s">
        <v>602</v>
      </c>
      <c r="B169" s="44"/>
      <c r="C169" s="44" t="s">
        <v>596</v>
      </c>
      <c r="D169" s="44" t="s">
        <v>1204</v>
      </c>
      <c r="E169" s="44" t="s">
        <v>597</v>
      </c>
      <c r="F169" s="44" t="s">
        <v>598</v>
      </c>
      <c r="G169" s="44" t="s">
        <v>603</v>
      </c>
      <c r="H169" s="65"/>
    </row>
    <row r="170" spans="1:8" ht="15">
      <c r="A170" s="117" t="s">
        <v>4</v>
      </c>
      <c r="B170" s="118"/>
      <c r="C170" s="118"/>
      <c r="D170" s="118"/>
      <c r="E170" s="118"/>
      <c r="F170" s="118"/>
      <c r="G170" s="118"/>
      <c r="H170" s="89"/>
    </row>
    <row r="171" spans="1:8" ht="210">
      <c r="A171" s="60" t="s">
        <v>604</v>
      </c>
      <c r="B171" s="65"/>
      <c r="C171" s="44" t="s">
        <v>1538</v>
      </c>
      <c r="D171" s="44" t="s">
        <v>1318</v>
      </c>
      <c r="E171" s="44" t="s">
        <v>605</v>
      </c>
      <c r="F171" s="44" t="s">
        <v>606</v>
      </c>
      <c r="G171" s="82" t="s">
        <v>607</v>
      </c>
      <c r="H171" s="65"/>
    </row>
    <row r="172" spans="1:8" ht="15">
      <c r="A172" s="117" t="s">
        <v>5</v>
      </c>
      <c r="B172" s="118"/>
      <c r="C172" s="118"/>
      <c r="D172" s="118"/>
      <c r="E172" s="118"/>
      <c r="F172" s="118"/>
      <c r="G172" s="118"/>
      <c r="H172" s="89"/>
    </row>
    <row r="173" spans="1:8" ht="240">
      <c r="A173" s="60" t="s">
        <v>608</v>
      </c>
      <c r="B173" s="44"/>
      <c r="C173" s="44" t="s">
        <v>1539</v>
      </c>
      <c r="D173" s="44" t="s">
        <v>1319</v>
      </c>
      <c r="E173" s="44" t="s">
        <v>609</v>
      </c>
      <c r="F173" s="44" t="s">
        <v>610</v>
      </c>
      <c r="G173" s="68" t="s">
        <v>1380</v>
      </c>
      <c r="H173" s="65"/>
    </row>
    <row r="174" spans="1:8" ht="15">
      <c r="A174" s="97"/>
      <c r="B174" s="75"/>
      <c r="C174" s="75"/>
      <c r="D174" s="75"/>
      <c r="E174" s="75"/>
      <c r="F174" s="75"/>
      <c r="G174" s="75"/>
      <c r="H174" s="75"/>
    </row>
    <row r="175" spans="1:8" ht="18.75">
      <c r="A175" s="52" t="s">
        <v>611</v>
      </c>
      <c r="B175" s="297" t="s">
        <v>1233</v>
      </c>
      <c r="C175" s="278"/>
      <c r="D175" s="278"/>
      <c r="E175" s="63"/>
      <c r="F175" s="11"/>
      <c r="G175" s="11"/>
      <c r="H175" s="11"/>
    </row>
    <row r="176" spans="1:8" ht="15">
      <c r="A176" s="117" t="s">
        <v>612</v>
      </c>
      <c r="B176" s="119"/>
      <c r="C176" s="119"/>
      <c r="D176" s="119"/>
      <c r="E176" s="119"/>
      <c r="F176" s="119"/>
      <c r="G176" s="119"/>
      <c r="H176" s="120"/>
    </row>
    <row r="177" spans="1:8" ht="390">
      <c r="A177" s="60" t="s">
        <v>613</v>
      </c>
      <c r="B177" s="44" t="s">
        <v>1638</v>
      </c>
      <c r="C177" s="44" t="s">
        <v>1540</v>
      </c>
      <c r="D177" s="44" t="s">
        <v>1320</v>
      </c>
      <c r="E177" s="44" t="s">
        <v>92</v>
      </c>
      <c r="F177" s="44" t="s">
        <v>614</v>
      </c>
      <c r="G177" s="44" t="s">
        <v>1761</v>
      </c>
      <c r="H177" s="14"/>
    </row>
    <row r="178" spans="1:8" ht="210">
      <c r="A178" s="60" t="s">
        <v>615</v>
      </c>
      <c r="B178" s="44" t="s">
        <v>1639</v>
      </c>
      <c r="C178" s="44" t="s">
        <v>1541</v>
      </c>
      <c r="D178" s="44" t="s">
        <v>1320</v>
      </c>
      <c r="E178" s="44" t="s">
        <v>616</v>
      </c>
      <c r="F178" s="44" t="s">
        <v>617</v>
      </c>
      <c r="G178" s="44" t="s">
        <v>1762</v>
      </c>
      <c r="H178" s="14"/>
    </row>
    <row r="179" spans="1:8" ht="390">
      <c r="A179" s="60" t="s">
        <v>618</v>
      </c>
      <c r="B179" s="44" t="s">
        <v>1670</v>
      </c>
      <c r="C179" s="44" t="s">
        <v>1542</v>
      </c>
      <c r="D179" s="44" t="s">
        <v>1215</v>
      </c>
      <c r="E179" s="44" t="s">
        <v>619</v>
      </c>
      <c r="F179" s="44" t="s">
        <v>620</v>
      </c>
      <c r="G179" s="44" t="s">
        <v>621</v>
      </c>
      <c r="H179" s="44" t="s">
        <v>266</v>
      </c>
    </row>
    <row r="180" spans="1:8" ht="405">
      <c r="A180" s="60" t="s">
        <v>622</v>
      </c>
      <c r="B180" s="44" t="s">
        <v>1662</v>
      </c>
      <c r="C180" s="44" t="s">
        <v>1543</v>
      </c>
      <c r="D180" s="44" t="s">
        <v>1234</v>
      </c>
      <c r="E180" s="44" t="s">
        <v>623</v>
      </c>
      <c r="F180" s="44" t="s">
        <v>624</v>
      </c>
      <c r="G180" s="44" t="s">
        <v>1268</v>
      </c>
      <c r="H180" s="14"/>
    </row>
    <row r="181" spans="1:8" ht="210">
      <c r="A181" s="60" t="s">
        <v>625</v>
      </c>
      <c r="B181" s="44" t="s">
        <v>1663</v>
      </c>
      <c r="C181" s="44" t="s">
        <v>1544</v>
      </c>
      <c r="D181" s="44" t="s">
        <v>1205</v>
      </c>
      <c r="E181" s="44" t="s">
        <v>626</v>
      </c>
      <c r="F181" s="44" t="s">
        <v>627</v>
      </c>
      <c r="G181" s="44" t="s">
        <v>1155</v>
      </c>
      <c r="H181" s="14"/>
    </row>
    <row r="182" spans="1:8" ht="210">
      <c r="A182" s="60" t="s">
        <v>628</v>
      </c>
      <c r="B182" s="44" t="s">
        <v>1664</v>
      </c>
      <c r="C182" s="44" t="s">
        <v>1545</v>
      </c>
      <c r="D182" s="44" t="s">
        <v>1206</v>
      </c>
      <c r="E182" s="44" t="s">
        <v>629</v>
      </c>
      <c r="F182" s="44" t="s">
        <v>630</v>
      </c>
      <c r="G182" s="44" t="s">
        <v>631</v>
      </c>
      <c r="H182" s="14"/>
    </row>
    <row r="183" spans="1:8" ht="15">
      <c r="A183" s="117" t="s">
        <v>553</v>
      </c>
      <c r="B183" s="119"/>
      <c r="C183" s="119"/>
      <c r="D183" s="119"/>
      <c r="E183" s="119"/>
      <c r="F183" s="119"/>
      <c r="G183" s="119"/>
      <c r="H183" s="120"/>
    </row>
    <row r="184" spans="1:8" ht="300">
      <c r="A184" s="60" t="s">
        <v>632</v>
      </c>
      <c r="B184" s="44" t="s">
        <v>1640</v>
      </c>
      <c r="C184" s="44" t="s">
        <v>1546</v>
      </c>
      <c r="D184" s="44" t="s">
        <v>2320</v>
      </c>
      <c r="E184" s="44" t="s">
        <v>2321</v>
      </c>
      <c r="F184" s="44" t="s">
        <v>2322</v>
      </c>
      <c r="G184" s="44" t="s">
        <v>2323</v>
      </c>
      <c r="H184" s="14"/>
    </row>
    <row r="185" spans="1:8" ht="210">
      <c r="A185" s="60" t="s">
        <v>1321</v>
      </c>
      <c r="B185" s="44" t="s">
        <v>1641</v>
      </c>
      <c r="C185" s="44" t="s">
        <v>1547</v>
      </c>
      <c r="D185" s="44" t="s">
        <v>2324</v>
      </c>
      <c r="E185" s="44" t="s">
        <v>2325</v>
      </c>
      <c r="F185" s="44" t="s">
        <v>2326</v>
      </c>
      <c r="G185" s="44" t="s">
        <v>2327</v>
      </c>
      <c r="H185" s="14"/>
    </row>
    <row r="186" spans="1:8" ht="210">
      <c r="A186" s="60" t="s">
        <v>633</v>
      </c>
      <c r="B186" s="44" t="s">
        <v>1665</v>
      </c>
      <c r="C186" s="44" t="s">
        <v>1548</v>
      </c>
      <c r="D186" s="44" t="s">
        <v>2328</v>
      </c>
      <c r="E186" s="44" t="s">
        <v>2329</v>
      </c>
      <c r="F186" s="44" t="s">
        <v>2330</v>
      </c>
      <c r="G186" s="44" t="s">
        <v>2331</v>
      </c>
      <c r="H186" s="14"/>
    </row>
    <row r="187" spans="1:8" ht="210">
      <c r="A187" s="60" t="s">
        <v>634</v>
      </c>
      <c r="B187" s="44" t="s">
        <v>635</v>
      </c>
      <c r="C187" s="44" t="s">
        <v>1549</v>
      </c>
      <c r="D187" s="44" t="s">
        <v>1322</v>
      </c>
      <c r="E187" s="44" t="s">
        <v>636</v>
      </c>
      <c r="F187" s="44" t="s">
        <v>637</v>
      </c>
      <c r="G187" s="44" t="s">
        <v>1323</v>
      </c>
      <c r="H187" s="44" t="s">
        <v>1136</v>
      </c>
    </row>
    <row r="188" spans="1:8" ht="15">
      <c r="A188" s="121" t="s">
        <v>638</v>
      </c>
      <c r="B188" s="122"/>
      <c r="C188" s="122"/>
      <c r="D188" s="122"/>
      <c r="E188" s="122"/>
      <c r="F188" s="122"/>
      <c r="G188" s="122"/>
      <c r="H188" s="123"/>
    </row>
    <row r="189" spans="1:8" ht="240">
      <c r="A189" s="60" t="s">
        <v>639</v>
      </c>
      <c r="B189" s="44" t="s">
        <v>1666</v>
      </c>
      <c r="C189" s="44" t="s">
        <v>1550</v>
      </c>
      <c r="D189" s="44" t="s">
        <v>640</v>
      </c>
      <c r="E189" s="44" t="s">
        <v>641</v>
      </c>
      <c r="F189" s="44" t="s">
        <v>642</v>
      </c>
      <c r="G189" s="44" t="s">
        <v>643</v>
      </c>
      <c r="H189" s="20" t="s">
        <v>644</v>
      </c>
    </row>
    <row r="190" spans="1:8" ht="210">
      <c r="A190" s="60" t="s">
        <v>645</v>
      </c>
      <c r="B190" s="14"/>
      <c r="C190" s="44" t="s">
        <v>1551</v>
      </c>
      <c r="D190" s="44" t="s">
        <v>640</v>
      </c>
      <c r="E190" s="44" t="s">
        <v>646</v>
      </c>
      <c r="F190" s="44" t="s">
        <v>647</v>
      </c>
      <c r="G190" s="44" t="s">
        <v>648</v>
      </c>
      <c r="H190" s="18" t="s">
        <v>649</v>
      </c>
    </row>
    <row r="191" spans="1:8" ht="210">
      <c r="A191" s="60" t="s">
        <v>650</v>
      </c>
      <c r="B191" s="44" t="s">
        <v>1642</v>
      </c>
      <c r="C191" s="44" t="s">
        <v>1552</v>
      </c>
      <c r="D191" s="44" t="s">
        <v>1324</v>
      </c>
      <c r="E191" s="44" t="s">
        <v>651</v>
      </c>
      <c r="F191" s="44" t="s">
        <v>652</v>
      </c>
      <c r="G191" s="44" t="s">
        <v>1325</v>
      </c>
      <c r="H191" s="14"/>
    </row>
    <row r="192" spans="1:8" ht="210">
      <c r="A192" s="60" t="s">
        <v>653</v>
      </c>
      <c r="B192" s="44" t="s">
        <v>1643</v>
      </c>
      <c r="C192" s="44" t="s">
        <v>1553</v>
      </c>
      <c r="D192" s="44" t="s">
        <v>1326</v>
      </c>
      <c r="E192" s="44" t="s">
        <v>654</v>
      </c>
      <c r="F192" s="44" t="s">
        <v>655</v>
      </c>
      <c r="G192" s="44" t="s">
        <v>656</v>
      </c>
      <c r="H192" s="14"/>
    </row>
    <row r="193" spans="1:8" ht="315">
      <c r="A193" s="60" t="s">
        <v>1648</v>
      </c>
      <c r="B193" s="44" t="s">
        <v>1644</v>
      </c>
      <c r="C193" s="44" t="s">
        <v>1554</v>
      </c>
      <c r="D193" s="44" t="s">
        <v>2332</v>
      </c>
      <c r="E193" s="44" t="s">
        <v>657</v>
      </c>
      <c r="F193" s="44" t="s">
        <v>658</v>
      </c>
      <c r="G193" s="44" t="s">
        <v>2333</v>
      </c>
      <c r="H193" s="124" t="s">
        <v>1612</v>
      </c>
    </row>
    <row r="194" spans="1:8" ht="315">
      <c r="A194" s="60" t="s">
        <v>1649</v>
      </c>
      <c r="B194" s="44" t="s">
        <v>1645</v>
      </c>
      <c r="C194" s="44" t="s">
        <v>1555</v>
      </c>
      <c r="D194" s="44" t="s">
        <v>2332</v>
      </c>
      <c r="E194" s="44" t="s">
        <v>659</v>
      </c>
      <c r="F194" s="44" t="s">
        <v>660</v>
      </c>
      <c r="G194" s="44" t="s">
        <v>2334</v>
      </c>
      <c r="H194" s="124" t="s">
        <v>1612</v>
      </c>
    </row>
    <row r="195" spans="1:8" ht="210">
      <c r="A195" s="60" t="s">
        <v>661</v>
      </c>
      <c r="B195" s="44" t="s">
        <v>662</v>
      </c>
      <c r="C195" s="44" t="s">
        <v>1556</v>
      </c>
      <c r="D195" s="44" t="s">
        <v>1320</v>
      </c>
      <c r="E195" s="44" t="s">
        <v>663</v>
      </c>
      <c r="F195" s="44" t="s">
        <v>664</v>
      </c>
      <c r="G195" s="44" t="s">
        <v>665</v>
      </c>
      <c r="H195" s="124" t="s">
        <v>1612</v>
      </c>
    </row>
    <row r="196" spans="1:8" ht="15">
      <c r="A196" s="97"/>
      <c r="B196" s="75"/>
      <c r="C196" s="75"/>
      <c r="D196" s="75"/>
      <c r="E196" s="75"/>
      <c r="F196" s="75"/>
      <c r="G196" s="75"/>
      <c r="H196" s="75"/>
    </row>
    <row r="197" spans="1:8" ht="18.75">
      <c r="A197" s="52" t="s">
        <v>666</v>
      </c>
      <c r="B197" s="49"/>
      <c r="C197" s="51"/>
      <c r="D197" s="51"/>
      <c r="E197" s="63"/>
      <c r="F197" s="11"/>
      <c r="G197" s="11"/>
      <c r="H197" s="11"/>
    </row>
    <row r="198" spans="1:8" ht="15">
      <c r="A198" s="109" t="s">
        <v>3</v>
      </c>
      <c r="B198" s="125"/>
      <c r="C198" s="125"/>
      <c r="D198" s="125"/>
      <c r="E198" s="125"/>
      <c r="F198" s="125"/>
      <c r="G198" s="125"/>
      <c r="H198" s="126"/>
    </row>
    <row r="199" spans="1:8" ht="210">
      <c r="A199" s="60" t="s">
        <v>667</v>
      </c>
      <c r="B199" s="44" t="s">
        <v>1646</v>
      </c>
      <c r="C199" s="44" t="s">
        <v>1557</v>
      </c>
      <c r="D199" s="44" t="s">
        <v>1276</v>
      </c>
      <c r="E199" s="44" t="s">
        <v>668</v>
      </c>
      <c r="F199" s="44" t="s">
        <v>669</v>
      </c>
      <c r="G199" s="44" t="s">
        <v>670</v>
      </c>
      <c r="H199" s="44" t="s">
        <v>671</v>
      </c>
    </row>
    <row r="200" spans="1:8" ht="225">
      <c r="A200" s="60" t="s">
        <v>672</v>
      </c>
      <c r="B200" s="44" t="s">
        <v>673</v>
      </c>
      <c r="C200" s="44" t="s">
        <v>1558</v>
      </c>
      <c r="D200" s="44" t="s">
        <v>674</v>
      </c>
      <c r="E200" s="44" t="s">
        <v>675</v>
      </c>
      <c r="F200" s="44" t="s">
        <v>248</v>
      </c>
      <c r="G200" s="44" t="s">
        <v>676</v>
      </c>
      <c r="H200" s="44" t="s">
        <v>671</v>
      </c>
    </row>
    <row r="201" spans="1:8" ht="15">
      <c r="A201" s="121" t="s">
        <v>4</v>
      </c>
      <c r="B201" s="122"/>
      <c r="C201" s="122"/>
      <c r="D201" s="122"/>
      <c r="E201" s="122"/>
      <c r="F201" s="122"/>
      <c r="G201" s="122"/>
      <c r="H201" s="123"/>
    </row>
    <row r="202" spans="1:8" ht="210">
      <c r="A202" s="60" t="s">
        <v>677</v>
      </c>
      <c r="B202" s="44" t="s">
        <v>678</v>
      </c>
      <c r="C202" s="44" t="s">
        <v>1559</v>
      </c>
      <c r="D202" s="44" t="s">
        <v>1247</v>
      </c>
      <c r="E202" s="44" t="s">
        <v>675</v>
      </c>
      <c r="F202" s="44" t="s">
        <v>679</v>
      </c>
      <c r="G202" s="44" t="s">
        <v>1168</v>
      </c>
      <c r="H202" s="44" t="s">
        <v>671</v>
      </c>
    </row>
    <row r="203" spans="1:8" ht="225">
      <c r="A203" s="60" t="s">
        <v>680</v>
      </c>
      <c r="B203" s="44" t="s">
        <v>1647</v>
      </c>
      <c r="C203" s="44" t="s">
        <v>1560</v>
      </c>
      <c r="D203" s="44" t="s">
        <v>1277</v>
      </c>
      <c r="E203" s="44" t="s">
        <v>681</v>
      </c>
      <c r="F203" s="44" t="s">
        <v>682</v>
      </c>
      <c r="G203" s="127" t="s">
        <v>1381</v>
      </c>
      <c r="H203" s="44" t="s">
        <v>671</v>
      </c>
    </row>
    <row r="204" spans="1:8" ht="15">
      <c r="A204" s="121" t="s">
        <v>5</v>
      </c>
      <c r="B204" s="122"/>
      <c r="C204" s="122"/>
      <c r="D204" s="122"/>
      <c r="E204" s="122"/>
      <c r="F204" s="122"/>
      <c r="G204" s="122"/>
      <c r="H204" s="123"/>
    </row>
    <row r="205" spans="1:8" ht="409.5">
      <c r="A205" s="60" t="s">
        <v>683</v>
      </c>
      <c r="B205" s="44" t="s">
        <v>684</v>
      </c>
      <c r="C205" s="44" t="s">
        <v>1561</v>
      </c>
      <c r="D205" s="92" t="s">
        <v>2335</v>
      </c>
      <c r="E205" s="44" t="s">
        <v>685</v>
      </c>
      <c r="F205" s="44" t="s">
        <v>686</v>
      </c>
      <c r="G205" s="128" t="s">
        <v>2336</v>
      </c>
      <c r="H205" s="37" t="s">
        <v>671</v>
      </c>
    </row>
    <row r="206" spans="1:8" ht="15">
      <c r="A206" s="121" t="s">
        <v>6</v>
      </c>
      <c r="B206" s="122"/>
      <c r="C206" s="122"/>
      <c r="D206" s="122"/>
      <c r="E206" s="122"/>
      <c r="F206" s="122"/>
      <c r="G206" s="122"/>
      <c r="H206" s="123"/>
    </row>
    <row r="207" spans="1:8" ht="409.5">
      <c r="A207" s="60" t="s">
        <v>687</v>
      </c>
      <c r="B207" s="44" t="s">
        <v>1763</v>
      </c>
      <c r="C207" s="44" t="s">
        <v>1562</v>
      </c>
      <c r="D207" s="44" t="s">
        <v>2337</v>
      </c>
      <c r="E207" s="44" t="s">
        <v>688</v>
      </c>
      <c r="F207" s="44" t="s">
        <v>689</v>
      </c>
      <c r="G207" s="129" t="s">
        <v>2338</v>
      </c>
      <c r="H207" s="37" t="s">
        <v>671</v>
      </c>
    </row>
    <row r="208" spans="1:8" ht="390">
      <c r="A208" s="60" t="s">
        <v>690</v>
      </c>
      <c r="B208" s="44" t="s">
        <v>691</v>
      </c>
      <c r="C208" s="44" t="s">
        <v>1563</v>
      </c>
      <c r="D208" s="44" t="s">
        <v>2339</v>
      </c>
      <c r="E208" s="44" t="s">
        <v>692</v>
      </c>
      <c r="F208" s="44" t="s">
        <v>693</v>
      </c>
      <c r="G208" s="129" t="s">
        <v>2340</v>
      </c>
      <c r="H208" s="37" t="s">
        <v>671</v>
      </c>
    </row>
    <row r="209" spans="1:8" ht="409.5">
      <c r="A209" s="60" t="s">
        <v>694</v>
      </c>
      <c r="B209" s="44" t="s">
        <v>695</v>
      </c>
      <c r="C209" s="44" t="s">
        <v>1564</v>
      </c>
      <c r="D209" s="44" t="s">
        <v>2341</v>
      </c>
      <c r="E209" s="44" t="s">
        <v>696</v>
      </c>
      <c r="F209" s="44" t="s">
        <v>697</v>
      </c>
      <c r="G209" s="129" t="s">
        <v>2342</v>
      </c>
      <c r="H209" s="37" t="s">
        <v>671</v>
      </c>
    </row>
    <row r="210" spans="1:8" ht="15">
      <c r="A210" s="97"/>
      <c r="B210" s="75"/>
      <c r="C210" s="75"/>
      <c r="D210" s="75"/>
      <c r="E210" s="75"/>
      <c r="F210" s="75"/>
      <c r="G210" s="75"/>
      <c r="H210" s="75"/>
    </row>
    <row r="211" spans="1:8" ht="18.75">
      <c r="A211" s="52" t="s">
        <v>698</v>
      </c>
      <c r="B211" s="49"/>
      <c r="C211" s="51"/>
      <c r="D211" s="51"/>
      <c r="E211" s="63"/>
      <c r="F211" s="11"/>
      <c r="G211" s="11"/>
      <c r="H211" s="11"/>
    </row>
    <row r="212" spans="1:8" ht="12.75">
      <c r="A212" s="293" t="s">
        <v>4</v>
      </c>
      <c r="B212" s="278"/>
      <c r="C212" s="278"/>
      <c r="D212" s="278"/>
      <c r="E212" s="278"/>
      <c r="F212" s="278"/>
      <c r="G212" s="278"/>
      <c r="H212" s="279"/>
    </row>
    <row r="213" spans="1:8" ht="15">
      <c r="A213" s="60" t="s">
        <v>699</v>
      </c>
      <c r="B213" s="47" t="s">
        <v>700</v>
      </c>
      <c r="C213" s="130"/>
      <c r="D213" s="131"/>
      <c r="E213" s="131"/>
      <c r="F213" s="131"/>
      <c r="G213" s="132" t="s">
        <v>701</v>
      </c>
      <c r="H213" s="131"/>
    </row>
    <row r="214" spans="1:8" ht="255">
      <c r="A214" s="60" t="s">
        <v>702</v>
      </c>
      <c r="B214" s="41" t="s">
        <v>703</v>
      </c>
      <c r="C214" s="41" t="s">
        <v>1565</v>
      </c>
      <c r="D214" s="41" t="s">
        <v>1382</v>
      </c>
      <c r="E214" s="41" t="s">
        <v>704</v>
      </c>
      <c r="F214" s="43" t="s">
        <v>705</v>
      </c>
      <c r="G214" s="129" t="s">
        <v>1383</v>
      </c>
      <c r="H214" s="41"/>
    </row>
    <row r="215" spans="1:8" ht="12.75">
      <c r="A215" s="293" t="s">
        <v>5</v>
      </c>
      <c r="B215" s="278"/>
      <c r="C215" s="278"/>
      <c r="D215" s="278"/>
      <c r="E215" s="278"/>
      <c r="F215" s="278"/>
      <c r="G215" s="278"/>
      <c r="H215" s="279"/>
    </row>
    <row r="216" spans="1:8" ht="285">
      <c r="A216" s="66" t="s">
        <v>706</v>
      </c>
      <c r="B216" s="63" t="s">
        <v>707</v>
      </c>
      <c r="C216" s="63" t="s">
        <v>1566</v>
      </c>
      <c r="D216" s="63" t="s">
        <v>1216</v>
      </c>
      <c r="E216" s="63" t="s">
        <v>708</v>
      </c>
      <c r="F216" s="63" t="s">
        <v>709</v>
      </c>
      <c r="G216" s="133" t="s">
        <v>1744</v>
      </c>
      <c r="H216" s="63" t="s">
        <v>710</v>
      </c>
    </row>
    <row r="217" spans="1:8" ht="12.75">
      <c r="A217" s="293" t="s">
        <v>6</v>
      </c>
      <c r="B217" s="278"/>
      <c r="C217" s="278"/>
      <c r="D217" s="278"/>
      <c r="E217" s="278"/>
      <c r="F217" s="278"/>
      <c r="G217" s="278"/>
      <c r="H217" s="279"/>
    </row>
    <row r="218" spans="1:8" ht="240">
      <c r="A218" s="60" t="s">
        <v>711</v>
      </c>
      <c r="B218" s="44" t="s">
        <v>712</v>
      </c>
      <c r="C218" s="44" t="s">
        <v>1567</v>
      </c>
      <c r="D218" s="44" t="s">
        <v>2343</v>
      </c>
      <c r="E218" s="44" t="s">
        <v>713</v>
      </c>
      <c r="F218" s="44" t="s">
        <v>714</v>
      </c>
      <c r="G218" s="134" t="s">
        <v>2344</v>
      </c>
      <c r="H218" s="41" t="s">
        <v>715</v>
      </c>
    </row>
    <row r="219" spans="1:8" ht="12.75">
      <c r="A219" s="293" t="s">
        <v>7</v>
      </c>
      <c r="B219" s="278"/>
      <c r="C219" s="278"/>
      <c r="D219" s="278"/>
      <c r="E219" s="278"/>
      <c r="F219" s="278"/>
      <c r="G219" s="278"/>
      <c r="H219" s="279"/>
    </row>
    <row r="220" spans="1:8" ht="285">
      <c r="A220" s="60" t="s">
        <v>716</v>
      </c>
      <c r="B220" s="44" t="s">
        <v>717</v>
      </c>
      <c r="C220" s="44" t="s">
        <v>1568</v>
      </c>
      <c r="D220" s="44" t="s">
        <v>2345</v>
      </c>
      <c r="E220" s="44" t="s">
        <v>718</v>
      </c>
      <c r="F220" s="44" t="s">
        <v>719</v>
      </c>
      <c r="G220" s="134" t="s">
        <v>2346</v>
      </c>
      <c r="H220" s="41" t="s">
        <v>720</v>
      </c>
    </row>
    <row r="221" spans="1:8" ht="15">
      <c r="A221" s="97"/>
      <c r="B221" s="75"/>
      <c r="C221" s="75"/>
      <c r="D221" s="75"/>
      <c r="E221" s="75"/>
      <c r="F221" s="75"/>
      <c r="G221" s="75"/>
      <c r="H221" s="75"/>
    </row>
    <row r="222" spans="1:8" ht="18.75">
      <c r="A222" s="52" t="s">
        <v>721</v>
      </c>
      <c r="B222" s="49"/>
      <c r="C222" s="51"/>
      <c r="D222" s="51"/>
      <c r="E222" s="63"/>
      <c r="F222" s="11"/>
      <c r="G222" s="11"/>
      <c r="H222" s="11"/>
    </row>
    <row r="223" spans="1:8" ht="15">
      <c r="A223" s="56" t="s">
        <v>3</v>
      </c>
      <c r="B223" s="57"/>
      <c r="C223" s="57"/>
      <c r="D223" s="57"/>
      <c r="E223" s="57"/>
      <c r="F223" s="57"/>
      <c r="G223" s="57"/>
      <c r="H223" s="58"/>
    </row>
    <row r="224" spans="1:8" ht="210">
      <c r="A224" s="60" t="s">
        <v>722</v>
      </c>
      <c r="B224" s="44"/>
      <c r="C224" s="44" t="s">
        <v>1569</v>
      </c>
      <c r="D224" s="44" t="s">
        <v>723</v>
      </c>
      <c r="E224" s="44" t="s">
        <v>724</v>
      </c>
      <c r="F224" s="44" t="s">
        <v>725</v>
      </c>
      <c r="G224" s="82" t="s">
        <v>726</v>
      </c>
      <c r="H224" s="44" t="s">
        <v>727</v>
      </c>
    </row>
    <row r="225" spans="1:8" ht="210">
      <c r="A225" s="60" t="s">
        <v>728</v>
      </c>
      <c r="B225" s="44"/>
      <c r="C225" s="44" t="s">
        <v>1570</v>
      </c>
      <c r="D225" s="44" t="s">
        <v>1278</v>
      </c>
      <c r="E225" s="44" t="s">
        <v>729</v>
      </c>
      <c r="F225" s="44" t="s">
        <v>730</v>
      </c>
      <c r="G225" s="68" t="s">
        <v>731</v>
      </c>
      <c r="H225" s="44"/>
    </row>
    <row r="226" spans="1:8" ht="15">
      <c r="A226" s="60" t="s">
        <v>732</v>
      </c>
      <c r="B226" s="44"/>
      <c r="C226" s="44"/>
      <c r="D226" s="44"/>
      <c r="E226" s="44"/>
      <c r="F226" s="44"/>
      <c r="G226" s="68"/>
      <c r="H226" s="44"/>
    </row>
    <row r="227" spans="1:8" ht="15">
      <c r="A227" s="56" t="s">
        <v>4</v>
      </c>
      <c r="B227" s="57"/>
      <c r="C227" s="57"/>
      <c r="D227" s="57"/>
      <c r="E227" s="57"/>
      <c r="F227" s="57"/>
      <c r="G227" s="57"/>
      <c r="H227" s="58"/>
    </row>
    <row r="228" spans="1:8" ht="210">
      <c r="A228" s="60" t="s">
        <v>733</v>
      </c>
      <c r="B228" s="44"/>
      <c r="C228" s="43" t="s">
        <v>1571</v>
      </c>
      <c r="D228" s="44" t="s">
        <v>1248</v>
      </c>
      <c r="E228" s="44" t="s">
        <v>734</v>
      </c>
      <c r="F228" s="44" t="s">
        <v>735</v>
      </c>
      <c r="G228" s="129" t="s">
        <v>1764</v>
      </c>
      <c r="H228" s="41"/>
    </row>
    <row r="229" spans="1:8" ht="135">
      <c r="A229" s="60" t="s">
        <v>1269</v>
      </c>
      <c r="B229" s="44"/>
      <c r="C229" s="44"/>
      <c r="D229" s="44" t="s">
        <v>1327</v>
      </c>
      <c r="E229" s="44" t="s">
        <v>734</v>
      </c>
      <c r="F229" s="44" t="s">
        <v>136</v>
      </c>
      <c r="G229" s="129" t="s">
        <v>1765</v>
      </c>
      <c r="H229" s="37"/>
    </row>
    <row r="230" spans="1:8" ht="15">
      <c r="A230" s="56" t="s">
        <v>5</v>
      </c>
      <c r="B230" s="57"/>
      <c r="C230" s="57"/>
      <c r="D230" s="57"/>
      <c r="E230" s="57"/>
      <c r="F230" s="57"/>
      <c r="G230" s="57"/>
      <c r="H230" s="58"/>
    </row>
    <row r="231" spans="1:8" ht="210">
      <c r="A231" s="60" t="s">
        <v>736</v>
      </c>
      <c r="B231" s="44"/>
      <c r="C231" s="44" t="s">
        <v>1572</v>
      </c>
      <c r="D231" s="44" t="s">
        <v>1249</v>
      </c>
      <c r="E231" s="44" t="s">
        <v>724</v>
      </c>
      <c r="F231" s="44" t="s">
        <v>737</v>
      </c>
      <c r="G231" s="68" t="s">
        <v>1328</v>
      </c>
      <c r="H231" s="44"/>
    </row>
    <row r="232" spans="1:8" ht="15">
      <c r="A232" s="56" t="s">
        <v>6</v>
      </c>
      <c r="B232" s="57"/>
      <c r="C232" s="57"/>
      <c r="D232" s="57"/>
      <c r="E232" s="57"/>
      <c r="F232" s="57"/>
      <c r="G232" s="57"/>
      <c r="H232" s="58"/>
    </row>
    <row r="233" spans="1:8" ht="255">
      <c r="A233" s="66" t="s">
        <v>738</v>
      </c>
      <c r="B233" s="63"/>
      <c r="C233" s="63" t="s">
        <v>1573</v>
      </c>
      <c r="D233" s="63" t="s">
        <v>1207</v>
      </c>
      <c r="E233" s="63" t="s">
        <v>739</v>
      </c>
      <c r="F233" s="63" t="s">
        <v>740</v>
      </c>
      <c r="G233" s="43" t="s">
        <v>1384</v>
      </c>
      <c r="H233" s="63"/>
    </row>
    <row r="234" spans="1:8" ht="409.5">
      <c r="A234" s="60" t="s">
        <v>741</v>
      </c>
      <c r="B234" s="44"/>
      <c r="C234" s="43" t="s">
        <v>1574</v>
      </c>
      <c r="D234" s="44" t="s">
        <v>2347</v>
      </c>
      <c r="E234" s="44" t="s">
        <v>168</v>
      </c>
      <c r="F234" s="44" t="s">
        <v>742</v>
      </c>
      <c r="G234" s="108" t="s">
        <v>2348</v>
      </c>
      <c r="H234" s="108"/>
    </row>
    <row r="235" spans="1:8" ht="409.5">
      <c r="A235" s="60" t="s">
        <v>743</v>
      </c>
      <c r="B235" s="41"/>
      <c r="C235" s="43" t="s">
        <v>1575</v>
      </c>
      <c r="D235" s="41" t="s">
        <v>1250</v>
      </c>
      <c r="E235" s="41" t="s">
        <v>744</v>
      </c>
      <c r="F235" s="41" t="s">
        <v>745</v>
      </c>
      <c r="G235" s="129" t="s">
        <v>2349</v>
      </c>
      <c r="H235" s="41"/>
    </row>
    <row r="236" spans="1:8" ht="15">
      <c r="A236" s="97"/>
      <c r="B236" s="75"/>
      <c r="C236" s="75"/>
      <c r="D236" s="75"/>
      <c r="E236" s="75"/>
      <c r="F236" s="75"/>
      <c r="G236" s="75"/>
      <c r="H236" s="75"/>
    </row>
    <row r="237" spans="1:8" ht="18.75">
      <c r="A237" s="52" t="s">
        <v>746</v>
      </c>
      <c r="B237" s="49"/>
      <c r="C237" s="51"/>
      <c r="D237" s="51"/>
      <c r="E237" s="63"/>
      <c r="F237" s="11"/>
      <c r="G237" s="11"/>
      <c r="H237" s="11"/>
    </row>
    <row r="238" spans="1:8" ht="15">
      <c r="A238" s="56" t="s">
        <v>3</v>
      </c>
      <c r="B238" s="57"/>
      <c r="C238" s="57"/>
      <c r="D238" s="57"/>
      <c r="E238" s="57"/>
      <c r="F238" s="57"/>
      <c r="G238" s="57"/>
      <c r="H238" s="58"/>
    </row>
    <row r="239" spans="1:8" ht="75">
      <c r="A239" s="66" t="s">
        <v>747</v>
      </c>
      <c r="B239" s="41"/>
      <c r="C239" s="41"/>
      <c r="D239" s="41"/>
      <c r="E239" s="41"/>
      <c r="F239" s="41"/>
      <c r="G239" s="43" t="s">
        <v>1426</v>
      </c>
      <c r="H239" s="41"/>
    </row>
    <row r="240" spans="1:8" ht="195">
      <c r="A240" s="60" t="s">
        <v>748</v>
      </c>
      <c r="B240" s="44" t="s">
        <v>749</v>
      </c>
      <c r="C240" s="44" t="s">
        <v>1576</v>
      </c>
      <c r="D240" s="44" t="s">
        <v>1279</v>
      </c>
      <c r="E240" s="44" t="s">
        <v>750</v>
      </c>
      <c r="F240" s="44" t="s">
        <v>751</v>
      </c>
      <c r="G240" s="134" t="s">
        <v>752</v>
      </c>
      <c r="H240" s="41" t="s">
        <v>753</v>
      </c>
    </row>
    <row r="241" spans="1:8" ht="15">
      <c r="A241" s="66" t="s">
        <v>754</v>
      </c>
      <c r="B241" s="63"/>
      <c r="C241" s="63"/>
      <c r="D241" s="63"/>
      <c r="E241" s="63"/>
      <c r="F241" s="63"/>
      <c r="G241" s="63"/>
      <c r="H241" s="63"/>
    </row>
    <row r="242" spans="1:8" ht="15">
      <c r="A242" s="56" t="s">
        <v>4</v>
      </c>
      <c r="B242" s="57"/>
      <c r="C242" s="57"/>
      <c r="D242" s="57"/>
      <c r="E242" s="57"/>
      <c r="F242" s="57"/>
      <c r="G242" s="57"/>
      <c r="H242" s="58"/>
    </row>
    <row r="243" spans="1:8" ht="195">
      <c r="A243" s="66" t="s">
        <v>755</v>
      </c>
      <c r="B243" s="63" t="s">
        <v>756</v>
      </c>
      <c r="C243" s="63" t="s">
        <v>1577</v>
      </c>
      <c r="D243" s="63"/>
      <c r="E243" s="63"/>
      <c r="F243" s="63"/>
      <c r="G243" s="63"/>
      <c r="H243" s="63" t="s">
        <v>757</v>
      </c>
    </row>
    <row r="244" spans="1:8" ht="15">
      <c r="A244" s="66" t="s">
        <v>758</v>
      </c>
      <c r="B244" s="63"/>
      <c r="C244" s="63"/>
      <c r="D244" s="63"/>
      <c r="E244" s="63"/>
      <c r="F244" s="63"/>
      <c r="G244" s="63"/>
      <c r="H244" s="63"/>
    </row>
    <row r="245" spans="1:8" ht="195">
      <c r="A245" s="66" t="s">
        <v>759</v>
      </c>
      <c r="B245" s="63"/>
      <c r="C245" s="63" t="s">
        <v>1578</v>
      </c>
      <c r="D245" s="63" t="s">
        <v>2350</v>
      </c>
      <c r="E245" s="63" t="s">
        <v>760</v>
      </c>
      <c r="F245" s="63" t="s">
        <v>761</v>
      </c>
      <c r="G245" s="63" t="s">
        <v>2351</v>
      </c>
      <c r="H245" s="63" t="s">
        <v>762</v>
      </c>
    </row>
    <row r="246" spans="1:8" ht="195">
      <c r="A246" s="60" t="s">
        <v>763</v>
      </c>
      <c r="B246" s="44"/>
      <c r="C246" s="44" t="s">
        <v>1579</v>
      </c>
      <c r="D246" s="44" t="s">
        <v>1251</v>
      </c>
      <c r="E246" s="44" t="s">
        <v>764</v>
      </c>
      <c r="F246" s="44" t="s">
        <v>248</v>
      </c>
      <c r="G246" s="44"/>
      <c r="H246" s="44"/>
    </row>
    <row r="247" spans="1:8" ht="210">
      <c r="A247" s="60" t="s">
        <v>765</v>
      </c>
      <c r="B247" s="44"/>
      <c r="C247" s="44" t="s">
        <v>1580</v>
      </c>
      <c r="D247" s="44" t="s">
        <v>1329</v>
      </c>
      <c r="E247" s="44" t="s">
        <v>766</v>
      </c>
      <c r="F247" s="44" t="s">
        <v>767</v>
      </c>
      <c r="G247" s="44" t="s">
        <v>1427</v>
      </c>
      <c r="H247" s="44"/>
    </row>
    <row r="248" spans="1:8" ht="165">
      <c r="A248" s="60" t="s">
        <v>768</v>
      </c>
      <c r="B248" s="44"/>
      <c r="C248" s="44"/>
      <c r="D248" s="44" t="s">
        <v>1330</v>
      </c>
      <c r="E248" s="44" t="s">
        <v>766</v>
      </c>
      <c r="F248" s="44" t="s">
        <v>769</v>
      </c>
      <c r="G248" s="44"/>
      <c r="H248" s="44"/>
    </row>
    <row r="249" spans="1:8" ht="15">
      <c r="A249" s="56" t="s">
        <v>5</v>
      </c>
      <c r="B249" s="57"/>
      <c r="C249" s="57"/>
      <c r="D249" s="57"/>
      <c r="E249" s="57"/>
      <c r="F249" s="57"/>
      <c r="G249" s="57"/>
      <c r="H249" s="58"/>
    </row>
    <row r="250" spans="1:8" ht="409.5">
      <c r="A250" s="66" t="s">
        <v>770</v>
      </c>
      <c r="B250" s="63"/>
      <c r="C250" s="63" t="s">
        <v>1581</v>
      </c>
      <c r="D250" s="63" t="s">
        <v>2352</v>
      </c>
      <c r="E250" s="63" t="s">
        <v>771</v>
      </c>
      <c r="F250" s="63" t="s">
        <v>772</v>
      </c>
      <c r="G250" s="63" t="s">
        <v>2353</v>
      </c>
      <c r="H250" s="63"/>
    </row>
    <row r="251" spans="1:8" ht="30">
      <c r="A251" s="60" t="s">
        <v>773</v>
      </c>
      <c r="B251" s="44"/>
      <c r="C251" s="44"/>
      <c r="D251" s="44"/>
      <c r="E251" s="44"/>
      <c r="F251" s="44"/>
      <c r="G251" s="44" t="s">
        <v>774</v>
      </c>
      <c r="H251" s="44"/>
    </row>
    <row r="252" spans="1:8" ht="15">
      <c r="A252" s="56" t="s">
        <v>6</v>
      </c>
      <c r="B252" s="57"/>
      <c r="C252" s="57"/>
      <c r="D252" s="57"/>
      <c r="E252" s="57"/>
      <c r="F252" s="57"/>
      <c r="G252" s="57"/>
      <c r="H252" s="58"/>
    </row>
    <row r="253" spans="1:8" ht="12.75">
      <c r="A253" s="293" t="s">
        <v>7</v>
      </c>
      <c r="B253" s="278"/>
      <c r="C253" s="278"/>
      <c r="D253" s="278"/>
      <c r="E253" s="278"/>
      <c r="F253" s="278"/>
      <c r="G253" s="278"/>
      <c r="H253" s="279"/>
    </row>
    <row r="254" spans="1:8" ht="240">
      <c r="A254" s="66" t="s">
        <v>1331</v>
      </c>
      <c r="B254" s="189" t="s">
        <v>1672</v>
      </c>
      <c r="C254" s="63" t="s">
        <v>1582</v>
      </c>
      <c r="D254" s="63"/>
      <c r="E254" s="63"/>
      <c r="F254" s="63"/>
      <c r="G254" s="42" t="s">
        <v>1766</v>
      </c>
      <c r="H254" s="63"/>
    </row>
    <row r="255" spans="1:8" ht="195">
      <c r="A255" s="60" t="s">
        <v>775</v>
      </c>
      <c r="B255" s="188" t="s">
        <v>1671</v>
      </c>
      <c r="C255" s="44" t="s">
        <v>1583</v>
      </c>
      <c r="D255" s="44"/>
      <c r="E255" s="44"/>
      <c r="F255" s="44"/>
      <c r="G255" s="46" t="s">
        <v>1428</v>
      </c>
      <c r="H255" s="44"/>
    </row>
    <row r="256" spans="1:8" ht="195">
      <c r="A256" s="60" t="s">
        <v>776</v>
      </c>
      <c r="B256" s="188" t="s">
        <v>1672</v>
      </c>
      <c r="C256" s="44" t="s">
        <v>1577</v>
      </c>
      <c r="D256" s="44"/>
      <c r="E256" s="44"/>
      <c r="F256" s="44"/>
      <c r="G256" s="46" t="s">
        <v>1429</v>
      </c>
      <c r="H256" s="44"/>
    </row>
  </sheetData>
  <mergeCells count="8">
    <mergeCell ref="A217:H217"/>
    <mergeCell ref="A219:H219"/>
    <mergeCell ref="A253:H253"/>
    <mergeCell ref="B2:D2"/>
    <mergeCell ref="B34:D34"/>
    <mergeCell ref="B175:D175"/>
    <mergeCell ref="A212:H212"/>
    <mergeCell ref="A215:H215"/>
  </mergeCells>
  <phoneticPr fontId="2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136"/>
  <sheetViews>
    <sheetView workbookViewId="0">
      <pane xSplit="1" ySplit="1" topLeftCell="C37" activePane="bottomRight" state="frozen"/>
      <selection pane="topRight" activeCell="B1" sqref="B1"/>
      <selection pane="bottomLeft" activeCell="A2" sqref="A2"/>
      <selection pane="bottomRight" activeCell="O137" sqref="O137"/>
    </sheetView>
  </sheetViews>
  <sheetFormatPr defaultColWidth="12.5703125" defaultRowHeight="15.75" customHeight="1"/>
  <cols>
    <col min="1" max="1" width="23.85546875" customWidth="1"/>
    <col min="2" max="2" width="13.140625" customWidth="1"/>
    <col min="3" max="3" width="10.42578125" customWidth="1"/>
    <col min="4" max="4" width="9.85546875" customWidth="1"/>
    <col min="5" max="5" width="11.85546875" customWidth="1"/>
    <col min="6" max="6" width="9.42578125" customWidth="1"/>
    <col min="7" max="7" width="8.7109375" customWidth="1"/>
    <col min="8" max="8" width="10.7109375" customWidth="1"/>
    <col min="9" max="9" width="11.28515625" customWidth="1"/>
    <col min="10" max="10" width="8.28515625" customWidth="1"/>
    <col min="11" max="11" width="12.5703125" customWidth="1"/>
    <col min="12" max="12" width="10" customWidth="1"/>
    <col min="13" max="13" width="8.7109375" customWidth="1"/>
    <col min="14" max="14" width="9.140625" customWidth="1"/>
    <col min="15" max="15" width="9.42578125" customWidth="1"/>
    <col min="16" max="16" width="12.85546875" customWidth="1"/>
    <col min="17" max="17" width="12.140625" customWidth="1"/>
    <col min="18" max="18" width="9.140625" customWidth="1"/>
    <col min="19" max="19" width="19.42578125" customWidth="1"/>
    <col min="20" max="20" width="56.42578125" customWidth="1"/>
  </cols>
  <sheetData>
    <row r="1" spans="1:24" ht="27">
      <c r="A1" s="173" t="s">
        <v>1068</v>
      </c>
      <c r="B1" s="174" t="s">
        <v>1069</v>
      </c>
      <c r="C1" s="174" t="s">
        <v>1070</v>
      </c>
      <c r="D1" s="174" t="s">
        <v>1071</v>
      </c>
      <c r="E1" s="174" t="s">
        <v>1072</v>
      </c>
      <c r="F1" s="175" t="s">
        <v>1073</v>
      </c>
      <c r="G1" s="175" t="s">
        <v>1074</v>
      </c>
      <c r="H1" s="174" t="s">
        <v>1060</v>
      </c>
      <c r="I1" s="174" t="s">
        <v>1075</v>
      </c>
      <c r="J1" s="174" t="s">
        <v>1064</v>
      </c>
      <c r="K1" s="174" t="s">
        <v>1076</v>
      </c>
      <c r="L1" s="174" t="s">
        <v>1077</v>
      </c>
      <c r="M1" s="174" t="s">
        <v>1078</v>
      </c>
      <c r="N1" s="174" t="s">
        <v>1078</v>
      </c>
      <c r="O1" s="176" t="s">
        <v>1079</v>
      </c>
      <c r="P1" s="174" t="s">
        <v>1080</v>
      </c>
      <c r="Q1" s="174" t="s">
        <v>1081</v>
      </c>
      <c r="R1" s="174" t="s">
        <v>1082</v>
      </c>
      <c r="S1" s="174" t="s">
        <v>1083</v>
      </c>
      <c r="T1" s="174" t="s">
        <v>1084</v>
      </c>
      <c r="U1" s="136"/>
      <c r="V1" s="137"/>
      <c r="W1" s="137"/>
      <c r="X1" s="137"/>
    </row>
    <row r="2" spans="1:24" ht="45">
      <c r="A2" s="135" t="s">
        <v>1623</v>
      </c>
      <c r="B2" s="81" t="s">
        <v>1126</v>
      </c>
      <c r="C2" s="4">
        <v>1</v>
      </c>
      <c r="D2" s="4">
        <v>25</v>
      </c>
      <c r="E2" s="4">
        <v>40</v>
      </c>
      <c r="F2" s="138">
        <v>1.1000000000000001</v>
      </c>
      <c r="G2" s="138">
        <v>0.3</v>
      </c>
      <c r="H2" s="4">
        <v>-6</v>
      </c>
      <c r="I2" s="4">
        <v>52</v>
      </c>
      <c r="J2" s="4">
        <v>210</v>
      </c>
      <c r="K2" s="4"/>
      <c r="L2" s="4">
        <v>10</v>
      </c>
      <c r="M2" s="4"/>
      <c r="N2" s="4"/>
      <c r="O2" s="4"/>
      <c r="P2" s="4"/>
      <c r="Q2" s="4"/>
      <c r="R2" s="4">
        <v>2</v>
      </c>
      <c r="S2" s="177" t="s">
        <v>1085</v>
      </c>
      <c r="T2" s="81" t="s">
        <v>2458</v>
      </c>
      <c r="U2" s="139" t="s">
        <v>777</v>
      </c>
      <c r="V2" s="74" t="s">
        <v>778</v>
      </c>
      <c r="W2" s="9" t="s">
        <v>779</v>
      </c>
      <c r="X2" s="9" t="s">
        <v>1430</v>
      </c>
    </row>
    <row r="3" spans="1:24" ht="30">
      <c r="A3" s="135" t="s">
        <v>1137</v>
      </c>
      <c r="B3" s="81" t="s">
        <v>1126</v>
      </c>
      <c r="C3" s="4">
        <v>1</v>
      </c>
      <c r="D3" s="4">
        <v>30</v>
      </c>
      <c r="E3" s="4">
        <v>40</v>
      </c>
      <c r="F3" s="138">
        <v>1.2</v>
      </c>
      <c r="G3" s="138">
        <v>0.4</v>
      </c>
      <c r="H3" s="4">
        <v>-12</v>
      </c>
      <c r="I3" s="4">
        <v>82</v>
      </c>
      <c r="J3" s="4">
        <v>800</v>
      </c>
      <c r="K3" s="4"/>
      <c r="L3" s="4">
        <v>16</v>
      </c>
      <c r="M3" s="4"/>
      <c r="N3" s="4"/>
      <c r="O3" s="4"/>
      <c r="P3" s="4"/>
      <c r="Q3" s="4"/>
      <c r="R3" s="4">
        <v>3</v>
      </c>
      <c r="S3" s="41"/>
      <c r="T3" s="81" t="s">
        <v>2459</v>
      </c>
      <c r="U3" s="75"/>
      <c r="V3" s="42"/>
      <c r="W3" s="20"/>
      <c r="X3" s="20"/>
    </row>
    <row r="4" spans="1:24" ht="30">
      <c r="A4" s="135" t="s">
        <v>1138</v>
      </c>
      <c r="B4" s="81" t="s">
        <v>1126</v>
      </c>
      <c r="C4" s="4">
        <v>1</v>
      </c>
      <c r="D4" s="4">
        <v>30</v>
      </c>
      <c r="E4" s="4">
        <v>45</v>
      </c>
      <c r="F4" s="138">
        <v>1.2</v>
      </c>
      <c r="G4" s="138">
        <v>0.3</v>
      </c>
      <c r="H4" s="4">
        <v>-10</v>
      </c>
      <c r="I4" s="4">
        <v>68</v>
      </c>
      <c r="J4" s="4">
        <v>900</v>
      </c>
      <c r="K4" s="4"/>
      <c r="L4" s="4">
        <v>12</v>
      </c>
      <c r="M4" s="4"/>
      <c r="N4" s="4"/>
      <c r="O4" s="4"/>
      <c r="P4" s="4"/>
      <c r="Q4" s="4"/>
      <c r="R4" s="4">
        <v>3</v>
      </c>
      <c r="S4" s="41"/>
      <c r="T4" s="81" t="s">
        <v>2460</v>
      </c>
      <c r="U4" s="141"/>
      <c r="V4" s="42" t="s">
        <v>780</v>
      </c>
      <c r="W4" s="20">
        <v>4</v>
      </c>
      <c r="X4" s="20">
        <v>13</v>
      </c>
    </row>
    <row r="5" spans="1:24" ht="30">
      <c r="A5" s="135" t="s">
        <v>1139</v>
      </c>
      <c r="B5" s="81" t="s">
        <v>1126</v>
      </c>
      <c r="C5" s="4">
        <v>1</v>
      </c>
      <c r="D5" s="4">
        <v>35</v>
      </c>
      <c r="E5" s="4">
        <v>55</v>
      </c>
      <c r="F5" s="138">
        <v>1.3</v>
      </c>
      <c r="G5" s="138">
        <v>0.3</v>
      </c>
      <c r="H5" s="4">
        <v>-12</v>
      </c>
      <c r="I5" s="4">
        <v>80</v>
      </c>
      <c r="J5" s="4">
        <v>2800</v>
      </c>
      <c r="K5" s="4"/>
      <c r="L5" s="4">
        <v>18</v>
      </c>
      <c r="M5" s="4"/>
      <c r="N5" s="4"/>
      <c r="O5" s="4"/>
      <c r="P5" s="4"/>
      <c r="Q5" s="4"/>
      <c r="R5" s="20">
        <v>3</v>
      </c>
      <c r="S5" s="41"/>
      <c r="T5" s="81" t="s">
        <v>2459</v>
      </c>
      <c r="U5" s="75"/>
      <c r="V5" s="42" t="s">
        <v>781</v>
      </c>
      <c r="W5" s="20">
        <v>4</v>
      </c>
      <c r="X5" s="20">
        <v>15</v>
      </c>
    </row>
    <row r="6" spans="1:24" ht="30">
      <c r="A6" s="135" t="s">
        <v>1140</v>
      </c>
      <c r="B6" s="81" t="s">
        <v>1126</v>
      </c>
      <c r="C6" s="4">
        <v>1</v>
      </c>
      <c r="D6" s="4">
        <v>35</v>
      </c>
      <c r="E6" s="4">
        <v>65</v>
      </c>
      <c r="F6" s="138">
        <v>1.3</v>
      </c>
      <c r="G6" s="138">
        <v>0.3</v>
      </c>
      <c r="H6" s="4">
        <v>-22</v>
      </c>
      <c r="I6" s="4">
        <v>72</v>
      </c>
      <c r="J6" s="4">
        <v>1100</v>
      </c>
      <c r="K6" s="4"/>
      <c r="L6" s="4">
        <v>22</v>
      </c>
      <c r="M6" s="4"/>
      <c r="N6" s="4"/>
      <c r="O6" s="4"/>
      <c r="P6" s="4"/>
      <c r="Q6" s="4">
        <v>5</v>
      </c>
      <c r="R6" s="4">
        <v>3</v>
      </c>
      <c r="S6" s="41"/>
      <c r="T6" s="81" t="s">
        <v>2461</v>
      </c>
      <c r="U6" s="75"/>
      <c r="V6" s="42" t="s">
        <v>782</v>
      </c>
      <c r="W6" s="20">
        <v>6</v>
      </c>
      <c r="X6" s="20">
        <v>15</v>
      </c>
    </row>
    <row r="7" spans="1:24" ht="45">
      <c r="A7" s="135" t="s">
        <v>1141</v>
      </c>
      <c r="B7" s="81" t="s">
        <v>1126</v>
      </c>
      <c r="C7" s="4">
        <v>2</v>
      </c>
      <c r="D7" s="4">
        <v>35</v>
      </c>
      <c r="E7" s="4">
        <v>70</v>
      </c>
      <c r="F7" s="138">
        <v>1.25</v>
      </c>
      <c r="G7" s="138">
        <v>0.4</v>
      </c>
      <c r="H7" s="4">
        <v>-14</v>
      </c>
      <c r="I7" s="4">
        <v>48</v>
      </c>
      <c r="J7" s="4">
        <v>400</v>
      </c>
      <c r="K7" s="4"/>
      <c r="L7" s="20">
        <v>30</v>
      </c>
      <c r="M7" s="4"/>
      <c r="N7" s="4"/>
      <c r="O7" s="4"/>
      <c r="P7" s="4"/>
      <c r="Q7" s="4"/>
      <c r="R7" s="4">
        <v>5</v>
      </c>
      <c r="S7" s="41"/>
      <c r="T7" s="81" t="s">
        <v>2462</v>
      </c>
      <c r="U7" s="75"/>
      <c r="V7" s="42" t="s">
        <v>783</v>
      </c>
      <c r="W7" s="20">
        <v>6</v>
      </c>
      <c r="X7" s="20">
        <v>35</v>
      </c>
    </row>
    <row r="8" spans="1:24" ht="45">
      <c r="A8" s="74" t="s">
        <v>1142</v>
      </c>
      <c r="B8" s="81" t="s">
        <v>1126</v>
      </c>
      <c r="C8" s="4">
        <v>2</v>
      </c>
      <c r="D8" s="4">
        <v>50</v>
      </c>
      <c r="E8" s="4">
        <v>70</v>
      </c>
      <c r="F8" s="138">
        <v>1.25</v>
      </c>
      <c r="G8" s="138">
        <v>0.35</v>
      </c>
      <c r="H8" s="4">
        <v>-14</v>
      </c>
      <c r="I8" s="4">
        <v>64</v>
      </c>
      <c r="J8" s="4">
        <v>1950</v>
      </c>
      <c r="K8" s="4">
        <v>5</v>
      </c>
      <c r="L8" s="4">
        <v>26</v>
      </c>
      <c r="M8" s="4"/>
      <c r="N8" s="4"/>
      <c r="O8" s="4"/>
      <c r="P8" s="4"/>
      <c r="Q8" s="4"/>
      <c r="R8" s="4">
        <v>5</v>
      </c>
      <c r="S8" s="41"/>
      <c r="T8" s="81" t="s">
        <v>2463</v>
      </c>
      <c r="U8" s="75"/>
      <c r="V8" s="42" t="s">
        <v>1143</v>
      </c>
      <c r="W8" s="20">
        <v>6</v>
      </c>
      <c r="X8" s="20">
        <v>30</v>
      </c>
    </row>
    <row r="9" spans="1:24" ht="30">
      <c r="A9" s="74" t="s">
        <v>1144</v>
      </c>
      <c r="B9" s="81" t="s">
        <v>1126</v>
      </c>
      <c r="C9" s="4">
        <v>2</v>
      </c>
      <c r="D9" s="4">
        <v>70</v>
      </c>
      <c r="E9" s="4">
        <v>95</v>
      </c>
      <c r="F9" s="138">
        <v>1.1000000000000001</v>
      </c>
      <c r="G9" s="138">
        <v>0.3</v>
      </c>
      <c r="H9" s="4">
        <v>-14</v>
      </c>
      <c r="I9" s="4">
        <v>72</v>
      </c>
      <c r="J9" s="4">
        <v>1200</v>
      </c>
      <c r="K9" s="4">
        <v>5</v>
      </c>
      <c r="L9" s="4">
        <v>32</v>
      </c>
      <c r="M9" s="4">
        <v>1</v>
      </c>
      <c r="N9" s="4">
        <v>2</v>
      </c>
      <c r="O9" s="4">
        <v>2</v>
      </c>
      <c r="P9" s="4"/>
      <c r="Q9" s="4"/>
      <c r="R9" s="4">
        <v>6</v>
      </c>
      <c r="S9" s="41"/>
      <c r="T9" s="81" t="s">
        <v>2464</v>
      </c>
      <c r="U9" s="75"/>
      <c r="V9" s="42" t="s">
        <v>784</v>
      </c>
      <c r="W9" s="20">
        <v>6</v>
      </c>
      <c r="X9" s="20">
        <v>15</v>
      </c>
    </row>
    <row r="10" spans="1:24" ht="45">
      <c r="A10" s="74" t="s">
        <v>1145</v>
      </c>
      <c r="B10" s="81" t="s">
        <v>1126</v>
      </c>
      <c r="C10" s="4">
        <v>2</v>
      </c>
      <c r="D10" s="4">
        <v>75</v>
      </c>
      <c r="E10" s="4">
        <v>100</v>
      </c>
      <c r="F10" s="138">
        <v>1.3</v>
      </c>
      <c r="G10" s="138">
        <v>0.3</v>
      </c>
      <c r="H10" s="4">
        <v>-16</v>
      </c>
      <c r="I10" s="4">
        <v>84</v>
      </c>
      <c r="J10" s="4">
        <v>2800</v>
      </c>
      <c r="K10" s="4">
        <v>5</v>
      </c>
      <c r="L10" s="4"/>
      <c r="M10" s="4">
        <v>1</v>
      </c>
      <c r="N10" s="4">
        <v>2</v>
      </c>
      <c r="O10" s="4">
        <v>2</v>
      </c>
      <c r="P10" s="4"/>
      <c r="Q10" s="4"/>
      <c r="R10" s="4">
        <v>6</v>
      </c>
      <c r="S10" s="41"/>
      <c r="T10" s="81" t="s">
        <v>2465</v>
      </c>
      <c r="U10" s="75"/>
      <c r="V10" s="42" t="s">
        <v>785</v>
      </c>
      <c r="W10" s="20">
        <v>6</v>
      </c>
      <c r="X10" s="20">
        <v>15</v>
      </c>
    </row>
    <row r="11" spans="1:24" ht="45">
      <c r="A11" s="135" t="s">
        <v>1146</v>
      </c>
      <c r="B11" s="81" t="s">
        <v>1126</v>
      </c>
      <c r="C11" s="4">
        <v>2</v>
      </c>
      <c r="D11" s="4">
        <v>75</v>
      </c>
      <c r="E11" s="4">
        <v>90</v>
      </c>
      <c r="F11" s="138">
        <v>1.5</v>
      </c>
      <c r="G11" s="138">
        <v>0.5</v>
      </c>
      <c r="H11" s="4">
        <v>-16</v>
      </c>
      <c r="I11" s="4">
        <v>96</v>
      </c>
      <c r="J11" s="4">
        <v>2000</v>
      </c>
      <c r="K11" s="4"/>
      <c r="L11" s="4">
        <v>40</v>
      </c>
      <c r="M11" s="4"/>
      <c r="N11" s="4"/>
      <c r="O11" s="4"/>
      <c r="P11" s="4"/>
      <c r="Q11" s="4"/>
      <c r="R11" s="4">
        <v>5</v>
      </c>
      <c r="S11" s="41"/>
      <c r="T11" s="81" t="s">
        <v>2466</v>
      </c>
      <c r="U11" s="75"/>
      <c r="V11" s="42"/>
      <c r="W11" s="20"/>
      <c r="X11" s="20"/>
    </row>
    <row r="12" spans="1:24" ht="45">
      <c r="A12" s="74" t="s">
        <v>786</v>
      </c>
      <c r="B12" s="81" t="s">
        <v>1126</v>
      </c>
      <c r="C12" s="4">
        <v>2</v>
      </c>
      <c r="D12" s="4">
        <v>75</v>
      </c>
      <c r="E12" s="4">
        <v>95</v>
      </c>
      <c r="F12" s="138">
        <v>1.3</v>
      </c>
      <c r="G12" s="138">
        <v>0.4</v>
      </c>
      <c r="H12" s="4">
        <v>-16</v>
      </c>
      <c r="I12" s="4">
        <v>64</v>
      </c>
      <c r="J12" s="4">
        <v>2200</v>
      </c>
      <c r="K12" s="4"/>
      <c r="L12" s="4">
        <v>32</v>
      </c>
      <c r="M12" s="4"/>
      <c r="N12" s="4"/>
      <c r="O12" s="4"/>
      <c r="P12" s="4"/>
      <c r="Q12" s="4"/>
      <c r="R12" s="4">
        <v>6</v>
      </c>
      <c r="S12" s="41"/>
      <c r="T12" s="81" t="s">
        <v>2467</v>
      </c>
      <c r="U12" s="75"/>
      <c r="V12" s="42"/>
      <c r="W12" s="20"/>
      <c r="X12" s="20"/>
    </row>
    <row r="13" spans="1:24" ht="45">
      <c r="A13" s="135" t="s">
        <v>1147</v>
      </c>
      <c r="B13" s="81" t="s">
        <v>1126</v>
      </c>
      <c r="C13" s="4">
        <v>2</v>
      </c>
      <c r="D13" s="4">
        <v>80</v>
      </c>
      <c r="E13" s="4">
        <v>100</v>
      </c>
      <c r="F13" s="138">
        <v>1.5</v>
      </c>
      <c r="G13" s="138">
        <v>0.4</v>
      </c>
      <c r="H13" s="4">
        <v>-16</v>
      </c>
      <c r="I13" s="4">
        <v>80</v>
      </c>
      <c r="J13" s="4">
        <v>2400</v>
      </c>
      <c r="K13" s="4"/>
      <c r="L13" s="4">
        <v>40</v>
      </c>
      <c r="M13" s="4"/>
      <c r="N13" s="4"/>
      <c r="O13" s="4"/>
      <c r="P13" s="4"/>
      <c r="Q13" s="4"/>
      <c r="R13" s="4">
        <v>5</v>
      </c>
      <c r="S13" s="41"/>
      <c r="T13" s="81" t="s">
        <v>2468</v>
      </c>
      <c r="U13" s="75"/>
      <c r="V13" s="42"/>
      <c r="W13" s="20"/>
      <c r="X13" s="20"/>
    </row>
    <row r="14" spans="1:24" ht="45">
      <c r="A14" s="135" t="s">
        <v>1148</v>
      </c>
      <c r="B14" s="81" t="s">
        <v>1126</v>
      </c>
      <c r="C14" s="4">
        <v>2</v>
      </c>
      <c r="D14" s="4">
        <v>90</v>
      </c>
      <c r="E14" s="4">
        <v>120</v>
      </c>
      <c r="F14" s="138">
        <v>1.6</v>
      </c>
      <c r="G14" s="138">
        <v>0.4</v>
      </c>
      <c r="H14" s="4">
        <v>-34</v>
      </c>
      <c r="I14" s="4">
        <v>64</v>
      </c>
      <c r="J14" s="4">
        <v>1500</v>
      </c>
      <c r="K14" s="4"/>
      <c r="L14" s="4">
        <v>54</v>
      </c>
      <c r="M14" s="4"/>
      <c r="N14" s="4"/>
      <c r="O14" s="4"/>
      <c r="P14" s="4"/>
      <c r="Q14" s="20">
        <v>5</v>
      </c>
      <c r="R14" s="4">
        <v>5</v>
      </c>
      <c r="S14" s="41"/>
      <c r="T14" s="81" t="s">
        <v>2466</v>
      </c>
      <c r="U14" s="75"/>
      <c r="V14" s="42"/>
      <c r="W14" s="20"/>
      <c r="X14" s="20"/>
    </row>
    <row r="15" spans="1:24" ht="30">
      <c r="A15" s="135" t="s">
        <v>1235</v>
      </c>
      <c r="B15" s="81" t="s">
        <v>1236</v>
      </c>
      <c r="C15" s="4">
        <v>1</v>
      </c>
      <c r="D15" s="4">
        <v>20</v>
      </c>
      <c r="E15" s="4">
        <v>30</v>
      </c>
      <c r="F15" s="138">
        <v>2</v>
      </c>
      <c r="G15" s="138">
        <v>0.6</v>
      </c>
      <c r="H15" s="4">
        <v>-10</v>
      </c>
      <c r="I15" s="4">
        <v>96</v>
      </c>
      <c r="J15" s="4">
        <v>800</v>
      </c>
      <c r="K15" s="4"/>
      <c r="L15" s="4">
        <v>12</v>
      </c>
      <c r="M15" s="4"/>
      <c r="N15" s="4"/>
      <c r="O15" s="4"/>
      <c r="P15" s="4"/>
      <c r="Q15" s="4"/>
      <c r="R15" s="4">
        <v>3</v>
      </c>
      <c r="S15" s="178" t="s">
        <v>1086</v>
      </c>
      <c r="T15" s="81" t="s">
        <v>2469</v>
      </c>
      <c r="U15" s="75"/>
      <c r="V15" s="42"/>
      <c r="W15" s="20"/>
      <c r="X15" s="20"/>
    </row>
    <row r="16" spans="1:24" ht="30">
      <c r="A16" s="135" t="s">
        <v>1169</v>
      </c>
      <c r="B16" s="81" t="s">
        <v>1127</v>
      </c>
      <c r="C16" s="4">
        <v>2</v>
      </c>
      <c r="D16" s="4">
        <v>25</v>
      </c>
      <c r="E16" s="4">
        <v>30</v>
      </c>
      <c r="F16" s="138">
        <v>0.55000000000000004</v>
      </c>
      <c r="G16" s="138">
        <v>0.35</v>
      </c>
      <c r="H16" s="4">
        <v>-3</v>
      </c>
      <c r="I16" s="4">
        <v>52</v>
      </c>
      <c r="J16" s="4">
        <v>250</v>
      </c>
      <c r="K16" s="4"/>
      <c r="L16" s="4"/>
      <c r="M16" s="4">
        <v>2</v>
      </c>
      <c r="N16" s="4">
        <v>6</v>
      </c>
      <c r="O16" s="4">
        <v>6</v>
      </c>
      <c r="P16" s="4"/>
      <c r="Q16" s="20"/>
      <c r="R16" s="4">
        <v>0</v>
      </c>
      <c r="S16" s="41"/>
      <c r="T16" s="81" t="s">
        <v>2470</v>
      </c>
      <c r="U16" s="75"/>
      <c r="V16" s="42"/>
      <c r="W16" s="20"/>
      <c r="X16" s="20"/>
    </row>
    <row r="17" spans="1:24" ht="30">
      <c r="A17" s="135" t="s">
        <v>1170</v>
      </c>
      <c r="B17" s="81" t="s">
        <v>1127</v>
      </c>
      <c r="C17" s="4">
        <v>2</v>
      </c>
      <c r="D17" s="4">
        <v>30</v>
      </c>
      <c r="E17" s="4">
        <v>50</v>
      </c>
      <c r="F17" s="138">
        <v>0.5</v>
      </c>
      <c r="G17" s="138">
        <v>0.35</v>
      </c>
      <c r="H17" s="4">
        <v>-6</v>
      </c>
      <c r="I17" s="4">
        <v>48</v>
      </c>
      <c r="J17" s="4">
        <v>100</v>
      </c>
      <c r="K17" s="4"/>
      <c r="L17" s="4"/>
      <c r="M17" s="4"/>
      <c r="N17" s="4"/>
      <c r="O17" s="4"/>
      <c r="P17" s="4"/>
      <c r="Q17" s="4"/>
      <c r="R17" s="4">
        <v>0</v>
      </c>
      <c r="S17" s="41"/>
      <c r="T17" s="81" t="s">
        <v>2471</v>
      </c>
      <c r="U17" s="75"/>
      <c r="V17" s="42"/>
      <c r="W17" s="20"/>
      <c r="X17" s="20"/>
    </row>
    <row r="18" spans="1:24" ht="30">
      <c r="A18" s="135" t="s">
        <v>1171</v>
      </c>
      <c r="B18" s="81" t="s">
        <v>1127</v>
      </c>
      <c r="C18" s="4">
        <v>2</v>
      </c>
      <c r="D18" s="4">
        <v>30</v>
      </c>
      <c r="E18" s="4">
        <v>50</v>
      </c>
      <c r="F18" s="138">
        <v>0.5</v>
      </c>
      <c r="G18" s="138">
        <v>0.35</v>
      </c>
      <c r="H18" s="4">
        <v>-4</v>
      </c>
      <c r="I18" s="4">
        <v>60</v>
      </c>
      <c r="J18" s="4">
        <v>200</v>
      </c>
      <c r="K18" s="4"/>
      <c r="L18" s="4"/>
      <c r="M18" s="4">
        <v>2</v>
      </c>
      <c r="N18" s="20">
        <v>6</v>
      </c>
      <c r="O18" s="20">
        <v>6</v>
      </c>
      <c r="P18" s="4"/>
      <c r="Q18" s="20"/>
      <c r="R18" s="4">
        <v>0</v>
      </c>
      <c r="S18" s="41"/>
      <c r="T18" s="81" t="s">
        <v>2471</v>
      </c>
      <c r="U18" s="75"/>
      <c r="V18" s="42"/>
      <c r="W18" s="20"/>
      <c r="X18" s="20"/>
    </row>
    <row r="19" spans="1:24" ht="30">
      <c r="A19" s="135" t="s">
        <v>1172</v>
      </c>
      <c r="B19" s="81" t="s">
        <v>1127</v>
      </c>
      <c r="C19" s="4">
        <v>2</v>
      </c>
      <c r="D19" s="4">
        <v>30</v>
      </c>
      <c r="E19" s="4">
        <v>50</v>
      </c>
      <c r="F19" s="138">
        <v>0.6</v>
      </c>
      <c r="G19" s="138">
        <v>0.35</v>
      </c>
      <c r="H19" s="4">
        <v>-4</v>
      </c>
      <c r="I19" s="4">
        <v>62</v>
      </c>
      <c r="J19" s="4">
        <v>500</v>
      </c>
      <c r="K19" s="4"/>
      <c r="L19" s="4"/>
      <c r="M19" s="4">
        <v>2</v>
      </c>
      <c r="N19" s="4">
        <v>7</v>
      </c>
      <c r="O19" s="4">
        <v>7</v>
      </c>
      <c r="P19" s="4"/>
      <c r="Q19" s="20"/>
      <c r="R19" s="4">
        <v>0</v>
      </c>
      <c r="S19" s="41"/>
      <c r="T19" s="81" t="s">
        <v>2471</v>
      </c>
      <c r="U19" s="75"/>
      <c r="V19" s="42" t="s">
        <v>1227</v>
      </c>
      <c r="W19" s="20">
        <v>4</v>
      </c>
      <c r="X19" s="20">
        <v>14</v>
      </c>
    </row>
    <row r="20" spans="1:24" ht="30">
      <c r="A20" s="135" t="s">
        <v>1173</v>
      </c>
      <c r="B20" s="81" t="s">
        <v>1127</v>
      </c>
      <c r="C20" s="4">
        <v>2</v>
      </c>
      <c r="D20" s="4">
        <v>40</v>
      </c>
      <c r="E20" s="4">
        <v>55</v>
      </c>
      <c r="F20" s="138">
        <v>0.7</v>
      </c>
      <c r="G20" s="138">
        <v>0.35</v>
      </c>
      <c r="H20" s="4">
        <v>-6</v>
      </c>
      <c r="I20" s="4">
        <v>80</v>
      </c>
      <c r="J20" s="4">
        <v>400</v>
      </c>
      <c r="K20" s="4"/>
      <c r="L20" s="4"/>
      <c r="M20" s="4">
        <v>2</v>
      </c>
      <c r="N20" s="4">
        <v>6</v>
      </c>
      <c r="O20" s="4">
        <v>6</v>
      </c>
      <c r="P20" s="4"/>
      <c r="Q20" s="4"/>
      <c r="R20" s="4">
        <v>0</v>
      </c>
      <c r="S20" s="41"/>
      <c r="T20" s="81" t="s">
        <v>2472</v>
      </c>
      <c r="U20" s="75"/>
      <c r="V20" s="42"/>
      <c r="W20" s="20"/>
      <c r="X20" s="20"/>
    </row>
    <row r="21" spans="1:24" ht="30">
      <c r="A21" s="135" t="s">
        <v>1174</v>
      </c>
      <c r="B21" s="81" t="s">
        <v>1127</v>
      </c>
      <c r="C21" s="4">
        <v>2</v>
      </c>
      <c r="D21" s="4">
        <v>40</v>
      </c>
      <c r="E21" s="4">
        <v>60</v>
      </c>
      <c r="F21" s="138">
        <v>0.55000000000000004</v>
      </c>
      <c r="G21" s="138">
        <v>0.35</v>
      </c>
      <c r="H21" s="4">
        <v>-6</v>
      </c>
      <c r="I21" s="4">
        <v>80</v>
      </c>
      <c r="J21" s="4">
        <v>600</v>
      </c>
      <c r="K21" s="4"/>
      <c r="L21" s="4"/>
      <c r="M21" s="4">
        <v>2</v>
      </c>
      <c r="N21" s="4">
        <v>7</v>
      </c>
      <c r="O21" s="4">
        <v>7</v>
      </c>
      <c r="P21" s="4"/>
      <c r="Q21" s="4"/>
      <c r="R21" s="4">
        <v>0</v>
      </c>
      <c r="S21" s="41"/>
      <c r="T21" s="81" t="s">
        <v>2472</v>
      </c>
      <c r="U21" s="75"/>
      <c r="V21" s="42" t="s">
        <v>787</v>
      </c>
      <c r="W21" s="20">
        <v>7</v>
      </c>
      <c r="X21" s="20">
        <v>20</v>
      </c>
    </row>
    <row r="22" spans="1:24" ht="30">
      <c r="A22" s="135" t="s">
        <v>1175</v>
      </c>
      <c r="B22" s="81" t="s">
        <v>1127</v>
      </c>
      <c r="C22" s="4">
        <v>2</v>
      </c>
      <c r="D22" s="4">
        <v>50</v>
      </c>
      <c r="E22" s="4">
        <v>70</v>
      </c>
      <c r="F22" s="138">
        <v>0.6</v>
      </c>
      <c r="G22" s="138">
        <v>0.35</v>
      </c>
      <c r="H22" s="4">
        <v>-6</v>
      </c>
      <c r="I22" s="4">
        <v>100</v>
      </c>
      <c r="J22" s="4">
        <v>2900</v>
      </c>
      <c r="K22" s="4"/>
      <c r="L22" s="4"/>
      <c r="M22" s="4">
        <v>2</v>
      </c>
      <c r="N22" s="4">
        <v>7</v>
      </c>
      <c r="O22" s="4">
        <v>7</v>
      </c>
      <c r="P22" s="4"/>
      <c r="Q22" s="20"/>
      <c r="R22" s="4">
        <v>0</v>
      </c>
      <c r="S22" s="41"/>
      <c r="T22" s="81" t="s">
        <v>2473</v>
      </c>
      <c r="U22" s="75"/>
      <c r="V22" s="42" t="s">
        <v>788</v>
      </c>
      <c r="W22" s="20">
        <v>4</v>
      </c>
      <c r="X22" s="20">
        <v>15</v>
      </c>
    </row>
    <row r="23" spans="1:24" ht="30">
      <c r="A23" s="135" t="s">
        <v>1176</v>
      </c>
      <c r="B23" s="81" t="s">
        <v>1127</v>
      </c>
      <c r="C23" s="4">
        <v>2</v>
      </c>
      <c r="D23" s="4">
        <v>50</v>
      </c>
      <c r="E23" s="4">
        <v>75</v>
      </c>
      <c r="F23" s="138">
        <v>0.65</v>
      </c>
      <c r="G23" s="138">
        <v>0.35</v>
      </c>
      <c r="H23" s="4">
        <v>-6</v>
      </c>
      <c r="I23" s="4">
        <v>110</v>
      </c>
      <c r="J23" s="4">
        <v>3500</v>
      </c>
      <c r="K23" s="4"/>
      <c r="L23" s="4"/>
      <c r="M23" s="4">
        <v>2</v>
      </c>
      <c r="N23" s="4">
        <v>7</v>
      </c>
      <c r="O23" s="4">
        <v>7</v>
      </c>
      <c r="P23" s="4">
        <v>5</v>
      </c>
      <c r="Q23" s="20"/>
      <c r="R23" s="4">
        <v>0</v>
      </c>
      <c r="S23" s="41"/>
      <c r="T23" s="81" t="s">
        <v>2473</v>
      </c>
      <c r="U23" s="75"/>
      <c r="V23" s="42"/>
      <c r="W23" s="20"/>
      <c r="X23" s="20"/>
    </row>
    <row r="24" spans="1:24" ht="15">
      <c r="A24" s="135" t="s">
        <v>789</v>
      </c>
      <c r="B24" s="81" t="s">
        <v>1129</v>
      </c>
      <c r="C24" s="4">
        <v>1</v>
      </c>
      <c r="D24" s="4">
        <v>15</v>
      </c>
      <c r="E24" s="4">
        <v>25</v>
      </c>
      <c r="F24" s="138">
        <v>0.3</v>
      </c>
      <c r="G24" s="138">
        <v>0.2</v>
      </c>
      <c r="H24" s="4">
        <v>-6</v>
      </c>
      <c r="I24" s="4">
        <v>40</v>
      </c>
      <c r="J24" s="4">
        <v>400</v>
      </c>
      <c r="K24" s="4"/>
      <c r="L24" s="4"/>
      <c r="M24" s="4">
        <v>1</v>
      </c>
      <c r="N24" s="4">
        <v>3</v>
      </c>
      <c r="O24" s="4">
        <v>3</v>
      </c>
      <c r="P24" s="4"/>
      <c r="Q24" s="4"/>
      <c r="R24" s="20">
        <v>1</v>
      </c>
      <c r="S24" s="41"/>
      <c r="T24" s="81" t="s">
        <v>790</v>
      </c>
      <c r="U24" s="75"/>
      <c r="V24" s="42"/>
      <c r="W24" s="20"/>
      <c r="X24" s="20"/>
    </row>
    <row r="25" spans="1:24" ht="15">
      <c r="A25" s="135" t="s">
        <v>791</v>
      </c>
      <c r="B25" s="81" t="s">
        <v>1129</v>
      </c>
      <c r="C25" s="4">
        <v>1</v>
      </c>
      <c r="D25" s="4">
        <v>15</v>
      </c>
      <c r="E25" s="4">
        <v>30</v>
      </c>
      <c r="F25" s="138">
        <v>0.25</v>
      </c>
      <c r="G25" s="138">
        <v>0.1</v>
      </c>
      <c r="H25" s="4">
        <v>-6</v>
      </c>
      <c r="I25" s="4">
        <v>40</v>
      </c>
      <c r="J25" s="4">
        <v>450</v>
      </c>
      <c r="K25" s="4"/>
      <c r="L25" s="4"/>
      <c r="M25" s="4"/>
      <c r="N25" s="4"/>
      <c r="O25" s="4"/>
      <c r="P25" s="4"/>
      <c r="Q25" s="4"/>
      <c r="R25" s="20">
        <v>1</v>
      </c>
      <c r="S25" s="41"/>
      <c r="T25" s="81" t="s">
        <v>790</v>
      </c>
      <c r="U25" s="75"/>
      <c r="V25" s="42"/>
      <c r="W25" s="20"/>
      <c r="X25" s="20"/>
    </row>
    <row r="26" spans="1:24" ht="30">
      <c r="A26" s="135" t="s">
        <v>1188</v>
      </c>
      <c r="B26" s="81" t="s">
        <v>1129</v>
      </c>
      <c r="C26" s="4">
        <v>1</v>
      </c>
      <c r="D26" s="4">
        <v>20</v>
      </c>
      <c r="E26" s="4">
        <v>35</v>
      </c>
      <c r="F26" s="138">
        <v>0.75</v>
      </c>
      <c r="G26" s="138">
        <v>0.25</v>
      </c>
      <c r="H26" s="4">
        <v>-6</v>
      </c>
      <c r="I26" s="4">
        <v>40</v>
      </c>
      <c r="J26" s="4">
        <v>110</v>
      </c>
      <c r="K26" s="4"/>
      <c r="L26" s="4"/>
      <c r="M26" s="4"/>
      <c r="N26" s="4"/>
      <c r="O26" s="4"/>
      <c r="P26" s="4"/>
      <c r="Q26" s="20"/>
      <c r="R26" s="4">
        <v>1</v>
      </c>
      <c r="S26" s="179" t="s">
        <v>1087</v>
      </c>
      <c r="T26" s="81" t="s">
        <v>2474</v>
      </c>
      <c r="U26" s="75"/>
      <c r="V26" s="42"/>
      <c r="W26" s="20"/>
      <c r="X26" s="20"/>
    </row>
    <row r="27" spans="1:24" ht="30">
      <c r="A27" s="135" t="s">
        <v>1189</v>
      </c>
      <c r="B27" s="81" t="s">
        <v>1129</v>
      </c>
      <c r="C27" s="4">
        <v>1</v>
      </c>
      <c r="D27" s="4">
        <v>20</v>
      </c>
      <c r="E27" s="4">
        <v>30</v>
      </c>
      <c r="F27" s="138">
        <v>0.75</v>
      </c>
      <c r="G27" s="138">
        <v>0.35</v>
      </c>
      <c r="H27" s="4">
        <v>-8</v>
      </c>
      <c r="I27" s="4">
        <v>48</v>
      </c>
      <c r="J27" s="4">
        <v>120</v>
      </c>
      <c r="K27" s="4"/>
      <c r="L27" s="4"/>
      <c r="M27" s="4"/>
      <c r="N27" s="4"/>
      <c r="O27" s="4"/>
      <c r="P27" s="4"/>
      <c r="Q27" s="20"/>
      <c r="R27" s="4">
        <v>3</v>
      </c>
      <c r="S27" s="41"/>
      <c r="T27" s="81" t="s">
        <v>2475</v>
      </c>
      <c r="U27" s="75"/>
      <c r="V27" s="42"/>
      <c r="W27" s="20"/>
      <c r="X27" s="20"/>
    </row>
    <row r="28" spans="1:24" ht="30">
      <c r="A28" s="135" t="s">
        <v>792</v>
      </c>
      <c r="B28" s="81" t="s">
        <v>1129</v>
      </c>
      <c r="C28" s="4">
        <v>1</v>
      </c>
      <c r="D28" s="4">
        <v>25</v>
      </c>
      <c r="E28" s="4">
        <v>35</v>
      </c>
      <c r="F28" s="138">
        <v>0.8</v>
      </c>
      <c r="G28" s="138">
        <v>0.25</v>
      </c>
      <c r="H28" s="4">
        <v>-6</v>
      </c>
      <c r="I28" s="4">
        <v>30</v>
      </c>
      <c r="J28" s="4">
        <v>350</v>
      </c>
      <c r="K28" s="4"/>
      <c r="L28" s="4"/>
      <c r="M28" s="4"/>
      <c r="N28" s="4"/>
      <c r="O28" s="4"/>
      <c r="P28" s="4"/>
      <c r="Q28" s="4"/>
      <c r="R28" s="4">
        <v>2</v>
      </c>
      <c r="S28" s="41"/>
      <c r="T28" s="81" t="s">
        <v>2475</v>
      </c>
      <c r="U28" s="75"/>
      <c r="V28" s="42" t="s">
        <v>793</v>
      </c>
      <c r="W28" s="20">
        <v>4</v>
      </c>
      <c r="X28" s="20">
        <v>12</v>
      </c>
    </row>
    <row r="29" spans="1:24" ht="30">
      <c r="A29" s="135" t="s">
        <v>1190</v>
      </c>
      <c r="B29" s="81" t="s">
        <v>1129</v>
      </c>
      <c r="C29" s="4">
        <v>1</v>
      </c>
      <c r="D29" s="4">
        <v>30</v>
      </c>
      <c r="E29" s="4">
        <v>40</v>
      </c>
      <c r="F29" s="138">
        <v>0.8</v>
      </c>
      <c r="G29" s="138">
        <v>0.35</v>
      </c>
      <c r="H29" s="4">
        <v>-10</v>
      </c>
      <c r="I29" s="4">
        <v>66</v>
      </c>
      <c r="J29" s="4">
        <v>600</v>
      </c>
      <c r="K29" s="4"/>
      <c r="L29" s="4"/>
      <c r="M29" s="4"/>
      <c r="N29" s="4"/>
      <c r="O29" s="4"/>
      <c r="P29" s="4"/>
      <c r="Q29" s="4"/>
      <c r="R29" s="4">
        <v>3</v>
      </c>
      <c r="S29" s="41"/>
      <c r="T29" s="81" t="s">
        <v>2476</v>
      </c>
      <c r="U29" s="75"/>
      <c r="V29" s="42" t="s">
        <v>794</v>
      </c>
      <c r="W29" s="20">
        <v>4</v>
      </c>
      <c r="X29" s="20">
        <v>20</v>
      </c>
    </row>
    <row r="30" spans="1:24" ht="30">
      <c r="A30" s="135" t="s">
        <v>795</v>
      </c>
      <c r="B30" s="81" t="s">
        <v>1129</v>
      </c>
      <c r="C30" s="4">
        <v>1</v>
      </c>
      <c r="D30" s="4">
        <v>30</v>
      </c>
      <c r="E30" s="4">
        <v>45</v>
      </c>
      <c r="F30" s="138">
        <v>0.8</v>
      </c>
      <c r="G30" s="138">
        <v>0.25</v>
      </c>
      <c r="H30" s="4">
        <v>-8</v>
      </c>
      <c r="I30" s="4">
        <v>56</v>
      </c>
      <c r="J30" s="4">
        <v>700</v>
      </c>
      <c r="K30" s="4"/>
      <c r="L30" s="4"/>
      <c r="M30" s="4"/>
      <c r="N30" s="4"/>
      <c r="O30" s="4"/>
      <c r="P30" s="4"/>
      <c r="Q30" s="4"/>
      <c r="R30" s="4">
        <v>3</v>
      </c>
      <c r="S30" s="41"/>
      <c r="T30" s="81" t="s">
        <v>2477</v>
      </c>
      <c r="U30" s="75"/>
      <c r="V30" s="42" t="s">
        <v>796</v>
      </c>
      <c r="W30" s="20">
        <v>4</v>
      </c>
      <c r="X30" s="20">
        <v>20</v>
      </c>
    </row>
    <row r="31" spans="1:24" ht="30">
      <c r="A31" s="135" t="s">
        <v>797</v>
      </c>
      <c r="B31" s="81" t="s">
        <v>1129</v>
      </c>
      <c r="C31" s="4">
        <v>1</v>
      </c>
      <c r="D31" s="4">
        <v>35</v>
      </c>
      <c r="E31" s="4">
        <v>55</v>
      </c>
      <c r="F31" s="138">
        <v>1.2</v>
      </c>
      <c r="G31" s="138">
        <v>0.25</v>
      </c>
      <c r="H31" s="4">
        <v>-10</v>
      </c>
      <c r="I31" s="4">
        <v>42</v>
      </c>
      <c r="J31" s="4">
        <v>1300</v>
      </c>
      <c r="K31" s="4"/>
      <c r="L31" s="4"/>
      <c r="M31" s="4"/>
      <c r="N31" s="4"/>
      <c r="O31" s="4"/>
      <c r="P31" s="4"/>
      <c r="Q31" s="4"/>
      <c r="R31" s="4">
        <v>4</v>
      </c>
      <c r="S31" s="41"/>
      <c r="T31" s="81" t="s">
        <v>2476</v>
      </c>
      <c r="U31" s="75"/>
      <c r="V31" s="42" t="str">
        <f t="shared" ref="V31:X31" si="0">V5</f>
        <v>split_shield</v>
      </c>
      <c r="W31" s="20">
        <f t="shared" si="0"/>
        <v>4</v>
      </c>
      <c r="X31" s="20">
        <f t="shared" si="0"/>
        <v>15</v>
      </c>
    </row>
    <row r="32" spans="1:24" ht="30">
      <c r="A32" s="74" t="s">
        <v>1191</v>
      </c>
      <c r="B32" s="81" t="s">
        <v>1129</v>
      </c>
      <c r="C32" s="4">
        <v>1</v>
      </c>
      <c r="D32" s="4">
        <v>45</v>
      </c>
      <c r="E32" s="4">
        <v>60</v>
      </c>
      <c r="F32" s="138">
        <v>0.85</v>
      </c>
      <c r="G32" s="138">
        <v>0.25</v>
      </c>
      <c r="H32" s="4">
        <v>-12</v>
      </c>
      <c r="I32" s="4">
        <v>80</v>
      </c>
      <c r="J32" s="4">
        <v>1900</v>
      </c>
      <c r="K32" s="4"/>
      <c r="L32" s="4"/>
      <c r="M32" s="4"/>
      <c r="N32" s="4"/>
      <c r="O32" s="4"/>
      <c r="P32" s="4"/>
      <c r="Q32" s="4"/>
      <c r="R32" s="4">
        <v>4</v>
      </c>
      <c r="S32" s="41"/>
      <c r="T32" s="81" t="s">
        <v>2476</v>
      </c>
      <c r="U32" s="75"/>
      <c r="V32" s="42"/>
      <c r="W32" s="20"/>
      <c r="X32" s="20"/>
    </row>
    <row r="33" spans="1:24" ht="30">
      <c r="A33" s="135" t="s">
        <v>1192</v>
      </c>
      <c r="B33" s="81" t="s">
        <v>1129</v>
      </c>
      <c r="C33" s="4">
        <v>1</v>
      </c>
      <c r="D33" s="4">
        <v>40</v>
      </c>
      <c r="E33" s="4">
        <v>70</v>
      </c>
      <c r="F33" s="138">
        <v>1.1000000000000001</v>
      </c>
      <c r="G33" s="138">
        <v>0.25</v>
      </c>
      <c r="H33" s="4">
        <v>-18</v>
      </c>
      <c r="I33" s="4">
        <v>52</v>
      </c>
      <c r="J33" s="4">
        <v>1100</v>
      </c>
      <c r="K33" s="4"/>
      <c r="L33" s="4"/>
      <c r="M33" s="4"/>
      <c r="N33" s="4"/>
      <c r="O33" s="4"/>
      <c r="P33" s="4"/>
      <c r="Q33" s="4">
        <v>5</v>
      </c>
      <c r="R33" s="4">
        <v>3</v>
      </c>
      <c r="S33" s="41"/>
      <c r="T33" s="81" t="s">
        <v>2476</v>
      </c>
      <c r="U33" s="75"/>
      <c r="V33" s="42"/>
      <c r="W33" s="20"/>
      <c r="X33" s="20"/>
    </row>
    <row r="34" spans="1:24" ht="30">
      <c r="A34" s="135" t="s">
        <v>798</v>
      </c>
      <c r="B34" s="81" t="s">
        <v>1129</v>
      </c>
      <c r="C34" s="4">
        <v>2</v>
      </c>
      <c r="D34" s="4">
        <v>50</v>
      </c>
      <c r="E34" s="4">
        <v>70</v>
      </c>
      <c r="F34" s="138">
        <v>0.9</v>
      </c>
      <c r="G34" s="138">
        <v>0.25</v>
      </c>
      <c r="H34" s="4">
        <v>-10</v>
      </c>
      <c r="I34" s="4">
        <v>54</v>
      </c>
      <c r="J34" s="4">
        <v>1800</v>
      </c>
      <c r="K34" s="4"/>
      <c r="L34" s="4"/>
      <c r="M34" s="4"/>
      <c r="N34" s="4"/>
      <c r="O34" s="4"/>
      <c r="P34" s="4"/>
      <c r="Q34" s="4"/>
      <c r="R34" s="4">
        <v>5</v>
      </c>
      <c r="S34" s="41"/>
      <c r="T34" s="81" t="s">
        <v>2478</v>
      </c>
      <c r="U34" s="75"/>
      <c r="V34" s="42"/>
      <c r="W34" s="20"/>
      <c r="X34" s="20"/>
    </row>
    <row r="35" spans="1:24" ht="15">
      <c r="A35" s="135" t="s">
        <v>799</v>
      </c>
      <c r="B35" s="81" t="s">
        <v>1129</v>
      </c>
      <c r="C35" s="4">
        <v>2</v>
      </c>
      <c r="D35" s="4">
        <v>60</v>
      </c>
      <c r="E35" s="4">
        <v>90</v>
      </c>
      <c r="F35" s="138">
        <v>1.2</v>
      </c>
      <c r="G35" s="138">
        <v>0.3</v>
      </c>
      <c r="H35" s="4">
        <v>-14</v>
      </c>
      <c r="I35" s="4">
        <v>64</v>
      </c>
      <c r="J35" s="4">
        <v>1200</v>
      </c>
      <c r="K35" s="4">
        <v>5</v>
      </c>
      <c r="L35" s="4"/>
      <c r="M35" s="4"/>
      <c r="N35" s="4"/>
      <c r="O35" s="4"/>
      <c r="P35" s="4"/>
      <c r="Q35" s="4"/>
      <c r="R35" s="4">
        <v>6</v>
      </c>
      <c r="S35" s="41"/>
      <c r="T35" s="81" t="s">
        <v>2449</v>
      </c>
      <c r="U35" s="75"/>
      <c r="V35" s="42"/>
      <c r="W35" s="20"/>
      <c r="X35" s="20"/>
    </row>
    <row r="36" spans="1:24" ht="45">
      <c r="A36" s="74" t="s">
        <v>800</v>
      </c>
      <c r="B36" s="81" t="s">
        <v>1129</v>
      </c>
      <c r="C36" s="4">
        <v>2</v>
      </c>
      <c r="D36" s="4">
        <v>70</v>
      </c>
      <c r="E36" s="4">
        <v>90</v>
      </c>
      <c r="F36" s="138">
        <v>1.3</v>
      </c>
      <c r="G36" s="138">
        <v>0.35</v>
      </c>
      <c r="H36" s="4">
        <v>-18</v>
      </c>
      <c r="I36" s="4">
        <v>52</v>
      </c>
      <c r="J36" s="4">
        <v>1600</v>
      </c>
      <c r="K36" s="4"/>
      <c r="L36" s="4">
        <v>26</v>
      </c>
      <c r="M36" s="4"/>
      <c r="N36" s="4"/>
      <c r="O36" s="4"/>
      <c r="P36" s="4"/>
      <c r="Q36" s="4"/>
      <c r="R36" s="4">
        <v>5</v>
      </c>
      <c r="S36" s="41"/>
      <c r="T36" s="81" t="s">
        <v>2479</v>
      </c>
      <c r="U36" s="75"/>
      <c r="V36" s="42"/>
      <c r="W36" s="20"/>
      <c r="X36" s="20"/>
    </row>
    <row r="37" spans="1:24" ht="45">
      <c r="A37" s="74" t="s">
        <v>1193</v>
      </c>
      <c r="B37" s="81" t="s">
        <v>1129</v>
      </c>
      <c r="C37" s="4">
        <v>2</v>
      </c>
      <c r="D37" s="4">
        <v>60</v>
      </c>
      <c r="E37" s="4">
        <v>80</v>
      </c>
      <c r="F37" s="138">
        <v>1.2</v>
      </c>
      <c r="G37" s="138">
        <v>0.3</v>
      </c>
      <c r="H37" s="4">
        <v>-16</v>
      </c>
      <c r="I37" s="4">
        <v>48</v>
      </c>
      <c r="J37" s="4">
        <v>2000</v>
      </c>
      <c r="K37" s="4"/>
      <c r="L37" s="4">
        <v>18</v>
      </c>
      <c r="M37" s="4"/>
      <c r="N37" s="4"/>
      <c r="O37" s="4"/>
      <c r="P37" s="4"/>
      <c r="Q37" s="4"/>
      <c r="R37" s="4">
        <v>5</v>
      </c>
      <c r="S37" s="41"/>
      <c r="T37" s="81" t="s">
        <v>2480</v>
      </c>
      <c r="U37" s="75"/>
      <c r="V37" s="42"/>
      <c r="W37" s="20"/>
      <c r="X37" s="20"/>
    </row>
    <row r="38" spans="1:24" ht="45">
      <c r="A38" s="74" t="s">
        <v>801</v>
      </c>
      <c r="B38" s="81" t="s">
        <v>1129</v>
      </c>
      <c r="C38" s="4">
        <v>2</v>
      </c>
      <c r="D38" s="4">
        <v>65</v>
      </c>
      <c r="E38" s="4">
        <v>85</v>
      </c>
      <c r="F38" s="138">
        <v>1.1000000000000001</v>
      </c>
      <c r="G38" s="138">
        <v>0.25</v>
      </c>
      <c r="H38" s="4">
        <v>-14</v>
      </c>
      <c r="I38" s="4">
        <v>64</v>
      </c>
      <c r="J38" s="4">
        <v>2400</v>
      </c>
      <c r="K38" s="4"/>
      <c r="L38" s="4">
        <v>16</v>
      </c>
      <c r="M38" s="4"/>
      <c r="N38" s="4"/>
      <c r="O38" s="4"/>
      <c r="P38" s="4"/>
      <c r="Q38" s="4"/>
      <c r="R38" s="4">
        <v>5</v>
      </c>
      <c r="S38" s="41"/>
      <c r="T38" s="81" t="s">
        <v>2480</v>
      </c>
      <c r="U38" s="75"/>
      <c r="V38" s="42"/>
      <c r="W38" s="20"/>
      <c r="X38" s="20"/>
    </row>
    <row r="39" spans="1:24" ht="60">
      <c r="A39" s="74" t="s">
        <v>802</v>
      </c>
      <c r="B39" s="81" t="s">
        <v>1129</v>
      </c>
      <c r="C39" s="4">
        <v>2</v>
      </c>
      <c r="D39" s="4">
        <v>85</v>
      </c>
      <c r="E39" s="4">
        <v>100</v>
      </c>
      <c r="F39" s="138">
        <v>1.25</v>
      </c>
      <c r="G39" s="138">
        <v>0.3</v>
      </c>
      <c r="H39" s="4">
        <v>-16</v>
      </c>
      <c r="I39" s="4">
        <v>48</v>
      </c>
      <c r="J39" s="4">
        <v>2800</v>
      </c>
      <c r="K39" s="4"/>
      <c r="L39" s="4">
        <v>28</v>
      </c>
      <c r="M39" s="4"/>
      <c r="N39" s="4"/>
      <c r="O39" s="4"/>
      <c r="P39" s="4"/>
      <c r="Q39" s="4"/>
      <c r="R39" s="4">
        <v>6</v>
      </c>
      <c r="S39" s="41"/>
      <c r="T39" s="81" t="s">
        <v>2481</v>
      </c>
      <c r="U39" s="75"/>
      <c r="V39" s="42"/>
      <c r="W39" s="20"/>
      <c r="X39" s="20"/>
    </row>
    <row r="40" spans="1:24" ht="45">
      <c r="A40" s="74" t="s">
        <v>803</v>
      </c>
      <c r="B40" s="81" t="s">
        <v>1332</v>
      </c>
      <c r="C40" s="4">
        <v>2</v>
      </c>
      <c r="D40" s="4">
        <v>45</v>
      </c>
      <c r="E40" s="4">
        <v>65</v>
      </c>
      <c r="F40" s="138">
        <v>1</v>
      </c>
      <c r="G40" s="138">
        <v>0.25</v>
      </c>
      <c r="H40" s="4">
        <v>-8</v>
      </c>
      <c r="I40" s="4">
        <v>56</v>
      </c>
      <c r="J40" s="4">
        <v>1700</v>
      </c>
      <c r="K40" s="4"/>
      <c r="L40" s="4"/>
      <c r="M40" s="4"/>
      <c r="N40" s="4"/>
      <c r="O40" s="4"/>
      <c r="P40" s="4"/>
      <c r="Q40" s="4"/>
      <c r="R40" s="4">
        <v>4</v>
      </c>
      <c r="S40" s="41"/>
      <c r="T40" s="41" t="s">
        <v>2482</v>
      </c>
      <c r="U40" s="75"/>
      <c r="V40" s="42"/>
      <c r="W40" s="20"/>
      <c r="X40" s="20"/>
    </row>
    <row r="41" spans="1:24" ht="45">
      <c r="A41" s="74" t="s">
        <v>804</v>
      </c>
      <c r="B41" s="81" t="s">
        <v>1332</v>
      </c>
      <c r="C41" s="4">
        <v>2</v>
      </c>
      <c r="D41" s="4">
        <v>60</v>
      </c>
      <c r="E41" s="4">
        <v>80</v>
      </c>
      <c r="F41" s="138">
        <v>1</v>
      </c>
      <c r="G41" s="138">
        <v>0.25</v>
      </c>
      <c r="H41" s="4">
        <v>-10</v>
      </c>
      <c r="I41" s="4">
        <v>64</v>
      </c>
      <c r="J41" s="4">
        <v>2400</v>
      </c>
      <c r="K41" s="4"/>
      <c r="L41" s="4"/>
      <c r="M41" s="4"/>
      <c r="N41" s="4"/>
      <c r="O41" s="4"/>
      <c r="P41" s="4"/>
      <c r="Q41" s="4"/>
      <c r="R41" s="4">
        <v>5</v>
      </c>
      <c r="S41" s="41"/>
      <c r="T41" s="41" t="s">
        <v>2483</v>
      </c>
      <c r="U41" s="75"/>
      <c r="V41" s="42"/>
      <c r="W41" s="20"/>
      <c r="X41" s="20"/>
    </row>
    <row r="42" spans="1:24" ht="30">
      <c r="A42" s="135" t="s">
        <v>1156</v>
      </c>
      <c r="B42" s="81" t="s">
        <v>1151</v>
      </c>
      <c r="C42" s="4">
        <v>2</v>
      </c>
      <c r="D42" s="4">
        <v>30</v>
      </c>
      <c r="E42" s="4">
        <v>50</v>
      </c>
      <c r="F42" s="138">
        <v>0.6</v>
      </c>
      <c r="G42" s="138">
        <v>0.5</v>
      </c>
      <c r="H42" s="4">
        <v>-6</v>
      </c>
      <c r="I42" s="4">
        <v>40</v>
      </c>
      <c r="J42" s="4">
        <v>300</v>
      </c>
      <c r="K42" s="4"/>
      <c r="L42" s="4"/>
      <c r="M42" s="4">
        <v>1</v>
      </c>
      <c r="N42" s="4">
        <v>6</v>
      </c>
      <c r="O42" s="4">
        <v>6</v>
      </c>
      <c r="P42" s="81"/>
      <c r="Q42" s="81"/>
      <c r="R42" s="4">
        <v>0</v>
      </c>
      <c r="S42" s="41"/>
      <c r="T42" s="81" t="s">
        <v>2484</v>
      </c>
      <c r="U42" s="75"/>
      <c r="V42" s="42"/>
      <c r="W42" s="20"/>
      <c r="X42" s="20"/>
    </row>
    <row r="43" spans="1:24" ht="15">
      <c r="A43" s="135" t="s">
        <v>805</v>
      </c>
      <c r="B43" s="81" t="s">
        <v>1151</v>
      </c>
      <c r="C43" s="4">
        <v>2</v>
      </c>
      <c r="D43" s="4">
        <v>35</v>
      </c>
      <c r="E43" s="4">
        <v>75</v>
      </c>
      <c r="F43" s="138">
        <v>0.9</v>
      </c>
      <c r="G43" s="138">
        <v>0.25</v>
      </c>
      <c r="H43" s="4">
        <v>-14</v>
      </c>
      <c r="I43" s="4">
        <v>60</v>
      </c>
      <c r="J43" s="4">
        <v>3000</v>
      </c>
      <c r="K43" s="4"/>
      <c r="L43" s="4"/>
      <c r="M43" s="4">
        <v>2</v>
      </c>
      <c r="N43" s="4">
        <v>2</v>
      </c>
      <c r="O43" s="4">
        <v>2</v>
      </c>
      <c r="P43" s="4"/>
      <c r="Q43" s="4"/>
      <c r="R43" s="4">
        <v>0</v>
      </c>
      <c r="S43" s="41"/>
      <c r="T43" s="81" t="s">
        <v>2485</v>
      </c>
      <c r="U43" s="75"/>
      <c r="V43" s="42"/>
      <c r="W43" s="20"/>
      <c r="X43" s="20"/>
    </row>
    <row r="44" spans="1:24" ht="30">
      <c r="A44" s="135" t="s">
        <v>1151</v>
      </c>
      <c r="B44" s="81" t="s">
        <v>1151</v>
      </c>
      <c r="C44" s="4">
        <v>2</v>
      </c>
      <c r="D44" s="4">
        <v>40</v>
      </c>
      <c r="E44" s="4">
        <v>60</v>
      </c>
      <c r="F44" s="138">
        <v>0.7</v>
      </c>
      <c r="G44" s="138">
        <v>0.5</v>
      </c>
      <c r="H44" s="4">
        <v>-8</v>
      </c>
      <c r="I44" s="4">
        <v>48</v>
      </c>
      <c r="J44" s="4">
        <v>750</v>
      </c>
      <c r="K44" s="4"/>
      <c r="L44" s="4"/>
      <c r="M44" s="4">
        <v>1</v>
      </c>
      <c r="N44" s="4">
        <v>6</v>
      </c>
      <c r="O44" s="4">
        <v>6</v>
      </c>
      <c r="P44" s="4"/>
      <c r="Q44" s="4"/>
      <c r="R44" s="4">
        <v>0</v>
      </c>
      <c r="S44" s="41"/>
      <c r="T44" s="81" t="s">
        <v>2486</v>
      </c>
      <c r="U44" s="75"/>
      <c r="V44" s="42"/>
      <c r="W44" s="20"/>
      <c r="X44" s="20"/>
    </row>
    <row r="45" spans="1:24" ht="30">
      <c r="A45" s="135" t="s">
        <v>1157</v>
      </c>
      <c r="B45" s="81" t="s">
        <v>1151</v>
      </c>
      <c r="C45" s="4">
        <v>2</v>
      </c>
      <c r="D45" s="4">
        <v>50</v>
      </c>
      <c r="E45" s="4">
        <v>70</v>
      </c>
      <c r="F45" s="138">
        <v>0.75</v>
      </c>
      <c r="G45" s="138">
        <v>0.5</v>
      </c>
      <c r="H45" s="4">
        <v>-12</v>
      </c>
      <c r="I45" s="4">
        <v>64</v>
      </c>
      <c r="J45" s="4">
        <v>3200</v>
      </c>
      <c r="K45" s="4"/>
      <c r="L45" s="4"/>
      <c r="M45" s="4">
        <v>1</v>
      </c>
      <c r="N45" s="4">
        <v>6</v>
      </c>
      <c r="O45" s="4">
        <v>6</v>
      </c>
      <c r="P45" s="136"/>
      <c r="Q45" s="4"/>
      <c r="R45" s="4">
        <v>0</v>
      </c>
      <c r="S45" s="41"/>
      <c r="T45" s="81" t="s">
        <v>2487</v>
      </c>
      <c r="U45" s="75"/>
      <c r="V45" s="42"/>
      <c r="W45" s="20"/>
      <c r="X45" s="20"/>
    </row>
    <row r="46" spans="1:24" ht="30">
      <c r="A46" s="135" t="s">
        <v>1158</v>
      </c>
      <c r="B46" s="81" t="s">
        <v>1151</v>
      </c>
      <c r="C46" s="4">
        <v>2</v>
      </c>
      <c r="D46" s="4">
        <v>50</v>
      </c>
      <c r="E46" s="4">
        <v>70</v>
      </c>
      <c r="F46" s="138">
        <v>0.75</v>
      </c>
      <c r="G46" s="138">
        <v>0.5</v>
      </c>
      <c r="H46" s="4">
        <v>-10</v>
      </c>
      <c r="I46" s="4">
        <v>72</v>
      </c>
      <c r="J46" s="4">
        <v>2000</v>
      </c>
      <c r="K46" s="4"/>
      <c r="L46" s="4"/>
      <c r="M46" s="4">
        <v>1</v>
      </c>
      <c r="N46" s="4">
        <v>6</v>
      </c>
      <c r="O46" s="4">
        <v>6</v>
      </c>
      <c r="P46" s="4"/>
      <c r="Q46" s="4"/>
      <c r="R46" s="4">
        <v>0</v>
      </c>
      <c r="S46" s="41"/>
      <c r="T46" s="81" t="s">
        <v>2488</v>
      </c>
      <c r="U46" s="75"/>
      <c r="V46" s="42"/>
      <c r="W46" s="20"/>
      <c r="X46" s="20"/>
    </row>
    <row r="47" spans="1:24" ht="30">
      <c r="A47" s="135" t="s">
        <v>806</v>
      </c>
      <c r="B47" s="81" t="s">
        <v>1194</v>
      </c>
      <c r="C47" s="4">
        <v>1</v>
      </c>
      <c r="D47" s="4">
        <v>15</v>
      </c>
      <c r="E47" s="4">
        <v>25</v>
      </c>
      <c r="F47" s="138">
        <v>0.5</v>
      </c>
      <c r="G47" s="138">
        <v>0.2</v>
      </c>
      <c r="H47" s="4">
        <v>0</v>
      </c>
      <c r="I47" s="4">
        <v>32</v>
      </c>
      <c r="J47" s="4">
        <v>30</v>
      </c>
      <c r="K47" s="4"/>
      <c r="L47" s="4"/>
      <c r="M47" s="4"/>
      <c r="N47" s="4"/>
      <c r="O47" s="4"/>
      <c r="P47" s="4"/>
      <c r="Q47" s="4"/>
      <c r="R47" s="4">
        <v>1</v>
      </c>
      <c r="S47" s="41"/>
      <c r="T47" s="81" t="s">
        <v>2489</v>
      </c>
      <c r="U47" s="75"/>
      <c r="V47" s="42"/>
      <c r="W47" s="20"/>
      <c r="X47" s="20"/>
    </row>
    <row r="48" spans="1:24" ht="85.5">
      <c r="A48" s="135" t="s">
        <v>1194</v>
      </c>
      <c r="B48" s="81" t="s">
        <v>1194</v>
      </c>
      <c r="C48" s="4">
        <v>1</v>
      </c>
      <c r="D48" s="4">
        <v>15</v>
      </c>
      <c r="E48" s="4">
        <v>35</v>
      </c>
      <c r="F48" s="138">
        <v>0.6</v>
      </c>
      <c r="G48" s="138">
        <v>0.2</v>
      </c>
      <c r="H48" s="4">
        <v>0</v>
      </c>
      <c r="I48" s="4">
        <v>40</v>
      </c>
      <c r="J48" s="4">
        <v>180</v>
      </c>
      <c r="K48" s="4"/>
      <c r="L48" s="4"/>
      <c r="M48" s="4"/>
      <c r="N48" s="4"/>
      <c r="O48" s="4"/>
      <c r="P48" s="4"/>
      <c r="Q48" s="4"/>
      <c r="R48" s="4">
        <v>1</v>
      </c>
      <c r="S48" s="177" t="s">
        <v>1088</v>
      </c>
      <c r="T48" s="81" t="s">
        <v>2490</v>
      </c>
      <c r="U48" s="75"/>
      <c r="V48" s="42"/>
      <c r="W48" s="20"/>
      <c r="X48" s="20"/>
    </row>
    <row r="49" spans="1:24" ht="30">
      <c r="A49" s="135" t="s">
        <v>1208</v>
      </c>
      <c r="B49" s="81" t="s">
        <v>1194</v>
      </c>
      <c r="C49" s="4">
        <v>1</v>
      </c>
      <c r="D49" s="4">
        <v>20</v>
      </c>
      <c r="E49" s="4">
        <v>40</v>
      </c>
      <c r="F49" s="138">
        <v>0.7</v>
      </c>
      <c r="G49" s="138">
        <v>0.2</v>
      </c>
      <c r="H49" s="4">
        <v>0</v>
      </c>
      <c r="I49" s="4">
        <v>50</v>
      </c>
      <c r="J49" s="4">
        <v>400</v>
      </c>
      <c r="K49" s="4"/>
      <c r="L49" s="4"/>
      <c r="M49" s="4"/>
      <c r="N49" s="4"/>
      <c r="O49" s="4"/>
      <c r="P49" s="4"/>
      <c r="Q49" s="4"/>
      <c r="R49" s="4">
        <v>1</v>
      </c>
      <c r="S49" s="41"/>
      <c r="T49" s="81" t="s">
        <v>2491</v>
      </c>
      <c r="U49" s="75"/>
      <c r="V49" s="42"/>
      <c r="W49" s="20"/>
      <c r="X49" s="20"/>
    </row>
    <row r="50" spans="1:24" ht="30">
      <c r="A50" s="135" t="s">
        <v>1209</v>
      </c>
      <c r="B50" s="81" t="s">
        <v>1194</v>
      </c>
      <c r="C50" s="4">
        <v>1</v>
      </c>
      <c r="D50" s="4">
        <v>25</v>
      </c>
      <c r="E50" s="4">
        <v>45</v>
      </c>
      <c r="F50" s="138">
        <v>0.7</v>
      </c>
      <c r="G50" s="138">
        <v>0.2</v>
      </c>
      <c r="H50" s="4">
        <v>0</v>
      </c>
      <c r="I50" s="4">
        <v>1</v>
      </c>
      <c r="J50" s="4">
        <v>5000</v>
      </c>
      <c r="K50" s="4"/>
      <c r="L50" s="4"/>
      <c r="M50" s="4"/>
      <c r="N50" s="4"/>
      <c r="O50" s="4"/>
      <c r="P50" s="4"/>
      <c r="Q50" s="4"/>
      <c r="R50" s="4">
        <v>1</v>
      </c>
      <c r="S50" s="41"/>
      <c r="T50" s="81" t="s">
        <v>2491</v>
      </c>
      <c r="U50" s="75"/>
      <c r="V50" s="42" t="s">
        <v>807</v>
      </c>
      <c r="W50" s="20">
        <v>3</v>
      </c>
      <c r="X50" s="20">
        <v>5</v>
      </c>
    </row>
    <row r="51" spans="1:24" ht="30">
      <c r="A51" s="135" t="s">
        <v>1210</v>
      </c>
      <c r="B51" s="81" t="s">
        <v>1194</v>
      </c>
      <c r="C51" s="4">
        <v>1</v>
      </c>
      <c r="D51" s="4">
        <v>30</v>
      </c>
      <c r="E51" s="4">
        <v>45</v>
      </c>
      <c r="F51" s="138">
        <v>0.7</v>
      </c>
      <c r="G51" s="138">
        <v>0.2</v>
      </c>
      <c r="H51" s="4">
        <v>0</v>
      </c>
      <c r="I51" s="4">
        <v>60</v>
      </c>
      <c r="J51" s="4">
        <v>1000</v>
      </c>
      <c r="K51" s="4"/>
      <c r="L51" s="4"/>
      <c r="M51" s="4"/>
      <c r="N51" s="4"/>
      <c r="O51" s="4"/>
      <c r="P51" s="4"/>
      <c r="Q51" s="4"/>
      <c r="R51" s="4">
        <v>1</v>
      </c>
      <c r="S51" s="41"/>
      <c r="T51" s="81" t="s">
        <v>2492</v>
      </c>
      <c r="U51" s="75"/>
      <c r="V51" s="42" t="s">
        <v>808</v>
      </c>
      <c r="W51" s="20">
        <v>4</v>
      </c>
      <c r="X51" s="20">
        <v>20</v>
      </c>
    </row>
    <row r="52" spans="1:24" ht="45">
      <c r="A52" s="135" t="s">
        <v>1217</v>
      </c>
      <c r="B52" s="81" t="s">
        <v>1211</v>
      </c>
      <c r="C52" s="4">
        <v>1</v>
      </c>
      <c r="D52" s="4">
        <v>10</v>
      </c>
      <c r="E52" s="4">
        <v>25</v>
      </c>
      <c r="F52" s="138">
        <v>0.5</v>
      </c>
      <c r="G52" s="138">
        <v>0.3</v>
      </c>
      <c r="H52" s="4">
        <v>-6</v>
      </c>
      <c r="I52" s="4">
        <v>32</v>
      </c>
      <c r="J52" s="4">
        <v>40</v>
      </c>
      <c r="K52" s="4">
        <v>10</v>
      </c>
      <c r="L52" s="4"/>
      <c r="M52" s="4"/>
      <c r="N52" s="4"/>
      <c r="O52" s="4"/>
      <c r="P52" s="4"/>
      <c r="Q52" s="4"/>
      <c r="R52" s="4">
        <v>2</v>
      </c>
      <c r="S52" s="177" t="s">
        <v>1089</v>
      </c>
      <c r="T52" s="81" t="s">
        <v>2493</v>
      </c>
      <c r="U52" s="75"/>
      <c r="V52" s="42"/>
      <c r="W52" s="20"/>
      <c r="X52" s="20"/>
    </row>
    <row r="53" spans="1:24" ht="30">
      <c r="A53" s="135" t="s">
        <v>1218</v>
      </c>
      <c r="B53" s="81" t="s">
        <v>1211</v>
      </c>
      <c r="C53" s="4">
        <v>1</v>
      </c>
      <c r="D53" s="4">
        <v>20</v>
      </c>
      <c r="E53" s="4">
        <v>45</v>
      </c>
      <c r="F53" s="138">
        <v>0.8</v>
      </c>
      <c r="G53" s="138">
        <v>0.3</v>
      </c>
      <c r="H53" s="4">
        <v>-7</v>
      </c>
      <c r="I53" s="4">
        <v>40</v>
      </c>
      <c r="J53" s="4">
        <v>300</v>
      </c>
      <c r="K53" s="4">
        <v>10</v>
      </c>
      <c r="L53" s="4"/>
      <c r="M53" s="4"/>
      <c r="N53" s="4"/>
      <c r="O53" s="4"/>
      <c r="P53" s="4"/>
      <c r="Q53" s="4"/>
      <c r="R53" s="4">
        <v>3</v>
      </c>
      <c r="S53" s="41"/>
      <c r="T53" s="81" t="s">
        <v>2494</v>
      </c>
      <c r="U53" s="75"/>
      <c r="V53" s="42"/>
      <c r="W53" s="20"/>
      <c r="X53" s="20"/>
    </row>
    <row r="54" spans="1:24" ht="30">
      <c r="A54" s="74" t="s">
        <v>1219</v>
      </c>
      <c r="B54" s="81" t="s">
        <v>1211</v>
      </c>
      <c r="C54" s="4">
        <v>2</v>
      </c>
      <c r="D54" s="4">
        <v>40</v>
      </c>
      <c r="E54" s="4">
        <v>70</v>
      </c>
      <c r="F54" s="138">
        <v>0.9</v>
      </c>
      <c r="G54" s="138">
        <v>0.3</v>
      </c>
      <c r="H54" s="4">
        <v>-12</v>
      </c>
      <c r="I54" s="4">
        <v>48</v>
      </c>
      <c r="J54" s="4">
        <v>700</v>
      </c>
      <c r="K54" s="4">
        <v>15</v>
      </c>
      <c r="L54" s="4"/>
      <c r="M54" s="4">
        <v>1</v>
      </c>
      <c r="N54" s="4">
        <v>2</v>
      </c>
      <c r="O54" s="4">
        <v>2</v>
      </c>
      <c r="P54" s="4"/>
      <c r="Q54" s="4"/>
      <c r="R54" s="4">
        <v>6</v>
      </c>
      <c r="S54" s="41"/>
      <c r="T54" s="81" t="s">
        <v>2495</v>
      </c>
      <c r="U54" s="75"/>
      <c r="V54" s="42" t="s">
        <v>809</v>
      </c>
      <c r="W54" s="20">
        <v>4</v>
      </c>
      <c r="X54" s="20">
        <v>7</v>
      </c>
    </row>
    <row r="55" spans="1:24" ht="30">
      <c r="A55" s="74" t="s">
        <v>1211</v>
      </c>
      <c r="B55" s="81" t="s">
        <v>1211</v>
      </c>
      <c r="C55" s="4">
        <v>1</v>
      </c>
      <c r="D55" s="4">
        <v>25</v>
      </c>
      <c r="E55" s="4">
        <v>55</v>
      </c>
      <c r="F55" s="138">
        <v>1</v>
      </c>
      <c r="G55" s="138">
        <v>0.3</v>
      </c>
      <c r="H55" s="4">
        <v>-8</v>
      </c>
      <c r="I55" s="4">
        <v>72</v>
      </c>
      <c r="J55" s="4">
        <v>1300</v>
      </c>
      <c r="K55" s="4">
        <v>10</v>
      </c>
      <c r="L55" s="4"/>
      <c r="M55" s="4"/>
      <c r="N55" s="4"/>
      <c r="O55" s="4"/>
      <c r="P55" s="4"/>
      <c r="Q55" s="4"/>
      <c r="R55" s="4">
        <v>4</v>
      </c>
      <c r="S55" s="41"/>
      <c r="T55" s="81" t="s">
        <v>2496</v>
      </c>
      <c r="U55" s="75"/>
      <c r="V55" s="42" t="s">
        <v>810</v>
      </c>
      <c r="W55" s="20">
        <v>4</v>
      </c>
      <c r="X55" s="20">
        <v>20</v>
      </c>
    </row>
    <row r="56" spans="1:24" ht="30">
      <c r="A56" s="74" t="s">
        <v>1220</v>
      </c>
      <c r="B56" s="81" t="s">
        <v>1211</v>
      </c>
      <c r="C56" s="4">
        <v>1</v>
      </c>
      <c r="D56" s="4">
        <v>30</v>
      </c>
      <c r="E56" s="4">
        <v>75</v>
      </c>
      <c r="F56" s="138">
        <v>1</v>
      </c>
      <c r="G56" s="138">
        <v>0.3</v>
      </c>
      <c r="H56" s="4">
        <v>-10</v>
      </c>
      <c r="I56" s="4">
        <v>60</v>
      </c>
      <c r="J56" s="4">
        <v>1500</v>
      </c>
      <c r="K56" s="4"/>
      <c r="L56" s="4"/>
      <c r="M56" s="4"/>
      <c r="N56" s="4"/>
      <c r="O56" s="4"/>
      <c r="P56" s="4"/>
      <c r="Q56" s="4"/>
      <c r="R56" s="4">
        <v>4</v>
      </c>
      <c r="S56" s="41"/>
      <c r="T56" s="81" t="s">
        <v>2497</v>
      </c>
      <c r="U56" s="75"/>
      <c r="V56" s="42" t="s">
        <v>811</v>
      </c>
      <c r="W56" s="20">
        <v>4</v>
      </c>
      <c r="X56" s="20">
        <v>10</v>
      </c>
    </row>
    <row r="57" spans="1:24" ht="30">
      <c r="A57" s="74" t="s">
        <v>1221</v>
      </c>
      <c r="B57" s="81" t="s">
        <v>1211</v>
      </c>
      <c r="C57" s="4">
        <v>2</v>
      </c>
      <c r="D57" s="4">
        <v>30</v>
      </c>
      <c r="E57" s="4">
        <v>60</v>
      </c>
      <c r="F57" s="138">
        <v>0.8</v>
      </c>
      <c r="G57" s="138">
        <v>0.3</v>
      </c>
      <c r="H57" s="4">
        <v>-14</v>
      </c>
      <c r="I57" s="4">
        <v>56</v>
      </c>
      <c r="J57" s="4">
        <v>500</v>
      </c>
      <c r="K57" s="4"/>
      <c r="L57" s="4"/>
      <c r="M57" s="4"/>
      <c r="N57" s="4"/>
      <c r="O57" s="4"/>
      <c r="P57" s="4"/>
      <c r="Q57" s="4"/>
      <c r="R57" s="4">
        <v>5</v>
      </c>
      <c r="S57" s="41"/>
      <c r="T57" s="81" t="s">
        <v>2450</v>
      </c>
      <c r="U57" s="75"/>
      <c r="V57" s="42"/>
      <c r="W57" s="20"/>
      <c r="X57" s="20"/>
    </row>
    <row r="58" spans="1:24" ht="30">
      <c r="A58" s="74" t="s">
        <v>1222</v>
      </c>
      <c r="B58" s="81" t="s">
        <v>1211</v>
      </c>
      <c r="C58" s="4">
        <v>2</v>
      </c>
      <c r="D58" s="4">
        <v>55</v>
      </c>
      <c r="E58" s="4">
        <v>85</v>
      </c>
      <c r="F58" s="138">
        <v>1.1499999999999999</v>
      </c>
      <c r="G58" s="138">
        <v>0.3</v>
      </c>
      <c r="H58" s="4">
        <v>-14</v>
      </c>
      <c r="I58" s="4">
        <v>64</v>
      </c>
      <c r="J58" s="4">
        <v>1400</v>
      </c>
      <c r="K58" s="4">
        <v>15</v>
      </c>
      <c r="L58" s="4"/>
      <c r="M58" s="4">
        <v>1</v>
      </c>
      <c r="N58" s="4">
        <v>2</v>
      </c>
      <c r="O58" s="4">
        <v>2</v>
      </c>
      <c r="P58" s="4"/>
      <c r="Q58" s="4"/>
      <c r="R58" s="4">
        <v>6</v>
      </c>
      <c r="S58" s="41"/>
      <c r="T58" s="81" t="s">
        <v>2498</v>
      </c>
      <c r="U58" s="75"/>
      <c r="V58" s="42" t="s">
        <v>1211</v>
      </c>
      <c r="W58" s="20">
        <v>4</v>
      </c>
      <c r="X58" s="20">
        <v>13</v>
      </c>
    </row>
    <row r="59" spans="1:24" ht="30">
      <c r="A59" s="74" t="s">
        <v>1223</v>
      </c>
      <c r="B59" s="81" t="s">
        <v>1211</v>
      </c>
      <c r="C59" s="4">
        <v>2</v>
      </c>
      <c r="D59" s="4">
        <v>45</v>
      </c>
      <c r="E59" s="4">
        <v>90</v>
      </c>
      <c r="F59" s="138">
        <v>1.1499999999999999</v>
      </c>
      <c r="G59" s="138">
        <v>0.3</v>
      </c>
      <c r="H59" s="4">
        <v>-16</v>
      </c>
      <c r="I59" s="4">
        <v>80</v>
      </c>
      <c r="J59" s="4">
        <v>1400</v>
      </c>
      <c r="K59" s="4">
        <v>15</v>
      </c>
      <c r="L59" s="4"/>
      <c r="M59" s="4"/>
      <c r="N59" s="4"/>
      <c r="O59" s="4"/>
      <c r="P59" s="4"/>
      <c r="Q59" s="4"/>
      <c r="R59" s="4">
        <v>5</v>
      </c>
      <c r="S59" s="41"/>
      <c r="T59" s="81" t="s">
        <v>2499</v>
      </c>
      <c r="U59" s="75"/>
      <c r="V59" s="42" t="s">
        <v>1224</v>
      </c>
      <c r="W59" s="20">
        <v>5</v>
      </c>
      <c r="X59" s="20">
        <v>15</v>
      </c>
    </row>
    <row r="60" spans="1:24" ht="30">
      <c r="A60" s="74" t="s">
        <v>1225</v>
      </c>
      <c r="B60" s="81" t="s">
        <v>1211</v>
      </c>
      <c r="C60" s="4">
        <v>2</v>
      </c>
      <c r="D60" s="4">
        <v>50</v>
      </c>
      <c r="E60" s="4">
        <v>100</v>
      </c>
      <c r="F60" s="138">
        <v>1.25</v>
      </c>
      <c r="G60" s="138">
        <v>0.3</v>
      </c>
      <c r="H60" s="4">
        <v>-30</v>
      </c>
      <c r="I60" s="4">
        <v>64</v>
      </c>
      <c r="J60" s="4">
        <v>1300</v>
      </c>
      <c r="K60" s="4"/>
      <c r="L60" s="4"/>
      <c r="M60" s="4"/>
      <c r="N60" s="4"/>
      <c r="O60" s="4"/>
      <c r="P60" s="4"/>
      <c r="Q60" s="4">
        <v>5</v>
      </c>
      <c r="R60" s="4">
        <v>5</v>
      </c>
      <c r="S60" s="41"/>
      <c r="T60" s="81" t="s">
        <v>2499</v>
      </c>
      <c r="U60" s="75"/>
      <c r="V60" s="42" t="s">
        <v>812</v>
      </c>
      <c r="W60" s="20">
        <v>4</v>
      </c>
      <c r="X60" s="20">
        <v>25</v>
      </c>
    </row>
    <row r="61" spans="1:24" ht="58.5">
      <c r="A61" s="74" t="s">
        <v>1149</v>
      </c>
      <c r="B61" s="81" t="s">
        <v>1227</v>
      </c>
      <c r="C61" s="4">
        <v>1</v>
      </c>
      <c r="D61" s="4">
        <v>15</v>
      </c>
      <c r="E61" s="4">
        <v>30</v>
      </c>
      <c r="F61" s="138">
        <v>1.5</v>
      </c>
      <c r="G61" s="138">
        <v>0.5</v>
      </c>
      <c r="H61" s="4">
        <v>-10</v>
      </c>
      <c r="I61" s="4">
        <v>56</v>
      </c>
      <c r="J61" s="4">
        <v>120</v>
      </c>
      <c r="K61" s="4"/>
      <c r="L61" s="4"/>
      <c r="M61" s="4"/>
      <c r="N61" s="4"/>
      <c r="O61" s="4"/>
      <c r="P61" s="4"/>
      <c r="Q61" s="4"/>
      <c r="R61" s="4">
        <v>3</v>
      </c>
      <c r="S61" s="177" t="s">
        <v>1090</v>
      </c>
      <c r="T61" s="81" t="s">
        <v>2500</v>
      </c>
      <c r="U61" s="75"/>
      <c r="V61" s="42" t="s">
        <v>1226</v>
      </c>
      <c r="W61" s="20">
        <v>5</v>
      </c>
      <c r="X61" s="20">
        <v>25</v>
      </c>
    </row>
    <row r="62" spans="1:24" ht="30">
      <c r="A62" s="74" t="s">
        <v>813</v>
      </c>
      <c r="B62" s="81" t="s">
        <v>1227</v>
      </c>
      <c r="C62" s="4">
        <v>1</v>
      </c>
      <c r="D62" s="4">
        <v>20</v>
      </c>
      <c r="E62" s="4">
        <v>35</v>
      </c>
      <c r="F62" s="138">
        <v>2</v>
      </c>
      <c r="G62" s="138">
        <v>0.5</v>
      </c>
      <c r="H62" s="4">
        <v>-8</v>
      </c>
      <c r="I62" s="4">
        <v>80</v>
      </c>
      <c r="J62" s="4">
        <v>900</v>
      </c>
      <c r="K62" s="4"/>
      <c r="L62" s="4"/>
      <c r="M62" s="4"/>
      <c r="N62" s="4"/>
      <c r="O62" s="4"/>
      <c r="P62" s="4"/>
      <c r="Q62" s="4"/>
      <c r="R62" s="4">
        <v>3</v>
      </c>
      <c r="S62" s="41"/>
      <c r="T62" s="81" t="s">
        <v>2501</v>
      </c>
      <c r="U62" s="75"/>
      <c r="V62" s="42"/>
      <c r="W62" s="20"/>
      <c r="X62" s="20"/>
    </row>
    <row r="63" spans="1:24" ht="30">
      <c r="A63" s="74" t="s">
        <v>1237</v>
      </c>
      <c r="B63" s="81" t="s">
        <v>1227</v>
      </c>
      <c r="C63" s="4">
        <v>1</v>
      </c>
      <c r="D63" s="4">
        <v>30</v>
      </c>
      <c r="E63" s="4">
        <v>40</v>
      </c>
      <c r="F63" s="138">
        <v>2.25</v>
      </c>
      <c r="G63" s="138">
        <v>0.5</v>
      </c>
      <c r="H63" s="4">
        <v>-8</v>
      </c>
      <c r="I63" s="4">
        <v>100</v>
      </c>
      <c r="J63" s="4">
        <v>2300</v>
      </c>
      <c r="K63" s="4"/>
      <c r="L63" s="4"/>
      <c r="M63" s="4"/>
      <c r="N63" s="4"/>
      <c r="O63" s="4"/>
      <c r="P63" s="4"/>
      <c r="Q63" s="4"/>
      <c r="R63" s="4">
        <v>3</v>
      </c>
      <c r="S63" s="41"/>
      <c r="T63" s="81" t="s">
        <v>2502</v>
      </c>
      <c r="U63" s="75"/>
      <c r="V63" s="42" t="s">
        <v>814</v>
      </c>
      <c r="W63" s="20">
        <v>6</v>
      </c>
      <c r="X63" s="20">
        <v>15</v>
      </c>
    </row>
    <row r="64" spans="1:24" ht="45">
      <c r="A64" s="74" t="s">
        <v>1238</v>
      </c>
      <c r="B64" s="81" t="s">
        <v>1227</v>
      </c>
      <c r="C64" s="4">
        <v>2</v>
      </c>
      <c r="D64" s="4">
        <v>40</v>
      </c>
      <c r="E64" s="4">
        <v>70</v>
      </c>
      <c r="F64" s="138">
        <v>1.5</v>
      </c>
      <c r="G64" s="138">
        <v>0.5</v>
      </c>
      <c r="H64" s="4">
        <v>-14</v>
      </c>
      <c r="I64" s="4">
        <v>50</v>
      </c>
      <c r="J64" s="4">
        <v>500</v>
      </c>
      <c r="K64" s="4"/>
      <c r="L64" s="4">
        <v>22</v>
      </c>
      <c r="M64" s="4"/>
      <c r="N64" s="4"/>
      <c r="O64" s="4"/>
      <c r="P64" s="4"/>
      <c r="Q64" s="4"/>
      <c r="R64" s="20">
        <v>4</v>
      </c>
      <c r="S64" s="41"/>
      <c r="T64" s="81" t="s">
        <v>2451</v>
      </c>
      <c r="U64" s="75"/>
      <c r="V64" s="42" t="s">
        <v>815</v>
      </c>
      <c r="W64" s="20">
        <v>6</v>
      </c>
      <c r="X64" s="20">
        <v>35</v>
      </c>
    </row>
    <row r="65" spans="1:24" ht="45">
      <c r="A65" s="74" t="s">
        <v>1239</v>
      </c>
      <c r="B65" s="81" t="s">
        <v>1227</v>
      </c>
      <c r="C65" s="4">
        <v>2</v>
      </c>
      <c r="D65" s="4">
        <v>45</v>
      </c>
      <c r="E65" s="4">
        <v>65</v>
      </c>
      <c r="F65" s="138">
        <v>1.8</v>
      </c>
      <c r="G65" s="138">
        <v>0.6</v>
      </c>
      <c r="H65" s="4">
        <v>-16</v>
      </c>
      <c r="I65" s="4">
        <v>120</v>
      </c>
      <c r="J65" s="4">
        <v>1300</v>
      </c>
      <c r="K65" s="4"/>
      <c r="L65" s="4">
        <v>30</v>
      </c>
      <c r="M65" s="4"/>
      <c r="N65" s="4"/>
      <c r="O65" s="4"/>
      <c r="P65" s="4"/>
      <c r="Q65" s="4"/>
      <c r="R65" s="20">
        <v>4</v>
      </c>
      <c r="S65" s="41"/>
      <c r="T65" s="81" t="s">
        <v>2503</v>
      </c>
      <c r="U65" s="75"/>
      <c r="V65" s="42" t="s">
        <v>816</v>
      </c>
      <c r="W65" s="20">
        <v>4</v>
      </c>
      <c r="X65" s="20">
        <v>13</v>
      </c>
    </row>
    <row r="66" spans="1:24" ht="30">
      <c r="A66" s="74" t="s">
        <v>1240</v>
      </c>
      <c r="B66" s="81" t="s">
        <v>1227</v>
      </c>
      <c r="C66" s="4">
        <v>2</v>
      </c>
      <c r="D66" s="4">
        <v>50</v>
      </c>
      <c r="E66" s="4">
        <v>75</v>
      </c>
      <c r="F66" s="138">
        <v>1.85</v>
      </c>
      <c r="G66" s="138">
        <v>0.5</v>
      </c>
      <c r="H66" s="4">
        <v>-14</v>
      </c>
      <c r="I66" s="4">
        <v>100</v>
      </c>
      <c r="J66" s="4">
        <v>1500</v>
      </c>
      <c r="K66" s="4"/>
      <c r="L66" s="4"/>
      <c r="M66" s="4"/>
      <c r="N66" s="4"/>
      <c r="O66" s="4"/>
      <c r="P66" s="4"/>
      <c r="Q66" s="4"/>
      <c r="R66" s="4">
        <v>6</v>
      </c>
      <c r="S66" s="41"/>
      <c r="T66" s="81" t="s">
        <v>817</v>
      </c>
      <c r="U66" s="75"/>
      <c r="V66" s="42"/>
      <c r="W66" s="20"/>
      <c r="X66" s="20"/>
    </row>
    <row r="67" spans="1:24" ht="45">
      <c r="A67" s="74" t="s">
        <v>1241</v>
      </c>
      <c r="B67" s="81" t="s">
        <v>1227</v>
      </c>
      <c r="C67" s="4">
        <v>2</v>
      </c>
      <c r="D67" s="4">
        <v>60</v>
      </c>
      <c r="E67" s="4">
        <v>90</v>
      </c>
      <c r="F67" s="138">
        <v>2</v>
      </c>
      <c r="G67" s="138">
        <v>0.5</v>
      </c>
      <c r="H67" s="4">
        <v>-18</v>
      </c>
      <c r="I67" s="4">
        <v>120</v>
      </c>
      <c r="J67" s="4">
        <v>2000</v>
      </c>
      <c r="K67" s="4"/>
      <c r="L67" s="4">
        <v>36</v>
      </c>
      <c r="M67" s="4"/>
      <c r="N67" s="4"/>
      <c r="O67" s="4"/>
      <c r="P67" s="4"/>
      <c r="Q67" s="4"/>
      <c r="R67" s="20">
        <v>4</v>
      </c>
      <c r="S67" s="41"/>
      <c r="T67" s="81" t="s">
        <v>2503</v>
      </c>
      <c r="U67" s="75"/>
      <c r="V67" s="42" t="s">
        <v>818</v>
      </c>
      <c r="W67" s="20">
        <v>4</v>
      </c>
      <c r="X67" s="20">
        <v>25</v>
      </c>
    </row>
    <row r="68" spans="1:24" ht="15">
      <c r="A68" s="74" t="s">
        <v>819</v>
      </c>
      <c r="B68" s="81" t="s">
        <v>1242</v>
      </c>
      <c r="C68" s="4">
        <v>2</v>
      </c>
      <c r="D68" s="4">
        <v>5</v>
      </c>
      <c r="E68" s="4">
        <v>5</v>
      </c>
      <c r="F68" s="138">
        <v>0</v>
      </c>
      <c r="G68" s="138">
        <v>0</v>
      </c>
      <c r="H68" s="4">
        <v>0</v>
      </c>
      <c r="I68" s="4">
        <v>0</v>
      </c>
      <c r="J68" s="4">
        <v>0</v>
      </c>
      <c r="K68" s="4"/>
      <c r="L68" s="4"/>
      <c r="M68" s="4"/>
      <c r="N68" s="4"/>
      <c r="O68" s="4"/>
      <c r="P68" s="4"/>
      <c r="Q68" s="4"/>
      <c r="R68" s="4">
        <v>1</v>
      </c>
      <c r="S68" s="41"/>
      <c r="T68" s="81"/>
      <c r="U68" s="75"/>
      <c r="V68" s="42"/>
      <c r="W68" s="20"/>
      <c r="X68" s="20"/>
    </row>
    <row r="69" spans="1:24" ht="30">
      <c r="A69" s="74" t="s">
        <v>820</v>
      </c>
      <c r="B69" s="81" t="s">
        <v>1242</v>
      </c>
      <c r="C69" s="4">
        <v>2</v>
      </c>
      <c r="D69" s="4">
        <v>5</v>
      </c>
      <c r="E69" s="4">
        <v>10</v>
      </c>
      <c r="F69" s="138">
        <v>0.1</v>
      </c>
      <c r="G69" s="138">
        <v>0.4</v>
      </c>
      <c r="H69" s="4">
        <v>-4</v>
      </c>
      <c r="I69" s="4">
        <v>2</v>
      </c>
      <c r="J69" s="4">
        <v>120</v>
      </c>
      <c r="K69" s="4"/>
      <c r="L69" s="4"/>
      <c r="M69" s="4"/>
      <c r="N69" s="4"/>
      <c r="O69" s="4"/>
      <c r="P69" s="4"/>
      <c r="Q69" s="4"/>
      <c r="R69" s="4">
        <v>2</v>
      </c>
      <c r="S69" s="41"/>
      <c r="T69" s="81" t="s">
        <v>2504</v>
      </c>
      <c r="U69" s="75"/>
      <c r="V69" s="42" t="s">
        <v>1227</v>
      </c>
      <c r="W69" s="20">
        <v>4</v>
      </c>
      <c r="X69" s="20">
        <v>14</v>
      </c>
    </row>
    <row r="70" spans="1:24" ht="43.5">
      <c r="A70" s="74" t="s">
        <v>821</v>
      </c>
      <c r="B70" s="81" t="s">
        <v>1242</v>
      </c>
      <c r="C70" s="4">
        <v>1</v>
      </c>
      <c r="D70" s="4">
        <v>15</v>
      </c>
      <c r="E70" s="4">
        <v>25</v>
      </c>
      <c r="F70" s="138">
        <v>0.5</v>
      </c>
      <c r="G70" s="138">
        <v>0.4</v>
      </c>
      <c r="H70" s="4">
        <v>-6</v>
      </c>
      <c r="I70" s="4">
        <v>32</v>
      </c>
      <c r="J70" s="4">
        <v>35</v>
      </c>
      <c r="K70" s="4"/>
      <c r="L70" s="4"/>
      <c r="M70" s="4"/>
      <c r="N70" s="4"/>
      <c r="O70" s="4"/>
      <c r="P70" s="4"/>
      <c r="Q70" s="4"/>
      <c r="R70" s="4">
        <v>3</v>
      </c>
      <c r="S70" s="177" t="s">
        <v>1091</v>
      </c>
      <c r="T70" s="81" t="s">
        <v>2505</v>
      </c>
      <c r="U70" s="75"/>
      <c r="V70" s="42" t="s">
        <v>822</v>
      </c>
      <c r="W70" s="20">
        <v>4</v>
      </c>
      <c r="X70" s="20">
        <v>25</v>
      </c>
    </row>
    <row r="71" spans="1:24" ht="30">
      <c r="A71" s="74" t="s">
        <v>823</v>
      </c>
      <c r="B71" s="81" t="s">
        <v>1242</v>
      </c>
      <c r="C71" s="4">
        <v>1</v>
      </c>
      <c r="D71" s="4">
        <v>20</v>
      </c>
      <c r="E71" s="4">
        <v>35</v>
      </c>
      <c r="F71" s="138">
        <v>0.75</v>
      </c>
      <c r="G71" s="138">
        <v>0.4</v>
      </c>
      <c r="H71" s="4">
        <v>-8</v>
      </c>
      <c r="I71" s="4">
        <v>64</v>
      </c>
      <c r="J71" s="4">
        <v>90</v>
      </c>
      <c r="K71" s="4"/>
      <c r="L71" s="4"/>
      <c r="M71" s="4"/>
      <c r="N71" s="4"/>
      <c r="O71" s="4"/>
      <c r="P71" s="4"/>
      <c r="Q71" s="4"/>
      <c r="R71" s="4">
        <v>3</v>
      </c>
      <c r="S71" s="41"/>
      <c r="T71" s="81" t="s">
        <v>2506</v>
      </c>
      <c r="U71" s="75"/>
      <c r="V71" s="42" t="s">
        <v>824</v>
      </c>
      <c r="W71" s="20">
        <v>6</v>
      </c>
      <c r="X71" s="20">
        <v>15</v>
      </c>
    </row>
    <row r="72" spans="1:24" ht="30">
      <c r="A72" s="74" t="s">
        <v>825</v>
      </c>
      <c r="B72" s="81" t="s">
        <v>1242</v>
      </c>
      <c r="C72" s="4">
        <v>1</v>
      </c>
      <c r="D72" s="4">
        <v>20</v>
      </c>
      <c r="E72" s="4">
        <v>30</v>
      </c>
      <c r="F72" s="138">
        <v>0.75</v>
      </c>
      <c r="G72" s="138">
        <v>0.5</v>
      </c>
      <c r="H72" s="4">
        <v>-10</v>
      </c>
      <c r="I72" s="4">
        <v>76</v>
      </c>
      <c r="J72" s="4">
        <v>100</v>
      </c>
      <c r="K72" s="4"/>
      <c r="L72" s="4"/>
      <c r="M72" s="4"/>
      <c r="N72" s="4"/>
      <c r="O72" s="4"/>
      <c r="P72" s="4"/>
      <c r="Q72" s="4"/>
      <c r="R72" s="4">
        <v>3</v>
      </c>
      <c r="S72" s="41"/>
      <c r="T72" s="81" t="s">
        <v>2506</v>
      </c>
      <c r="U72" s="75"/>
      <c r="V72" s="42" t="s">
        <v>826</v>
      </c>
      <c r="W72" s="20">
        <v>6</v>
      </c>
      <c r="X72" s="20">
        <v>30</v>
      </c>
    </row>
    <row r="73" spans="1:24" ht="30">
      <c r="A73" s="74" t="s">
        <v>827</v>
      </c>
      <c r="B73" s="81" t="s">
        <v>1242</v>
      </c>
      <c r="C73" s="4">
        <v>1</v>
      </c>
      <c r="D73" s="4">
        <v>25</v>
      </c>
      <c r="E73" s="4">
        <v>35</v>
      </c>
      <c r="F73" s="138">
        <v>0.7</v>
      </c>
      <c r="G73" s="138">
        <v>0.4</v>
      </c>
      <c r="H73" s="4">
        <v>-4</v>
      </c>
      <c r="I73" s="4">
        <v>56</v>
      </c>
      <c r="J73" s="4">
        <v>1000</v>
      </c>
      <c r="K73" s="4"/>
      <c r="L73" s="4"/>
      <c r="M73" s="4"/>
      <c r="N73" s="4"/>
      <c r="O73" s="4"/>
      <c r="P73" s="4"/>
      <c r="Q73" s="4"/>
      <c r="R73" s="4">
        <v>4</v>
      </c>
      <c r="S73" s="41"/>
      <c r="T73" s="81" t="s">
        <v>2507</v>
      </c>
      <c r="U73" s="75"/>
      <c r="V73" s="42" t="str">
        <f t="shared" ref="V73:X73" si="1">V5</f>
        <v>split_shield</v>
      </c>
      <c r="W73" s="20">
        <f t="shared" si="1"/>
        <v>4</v>
      </c>
      <c r="X73" s="20">
        <f t="shared" si="1"/>
        <v>15</v>
      </c>
    </row>
    <row r="74" spans="1:24" ht="30">
      <c r="A74" s="74" t="s">
        <v>1252</v>
      </c>
      <c r="B74" s="81" t="s">
        <v>1242</v>
      </c>
      <c r="C74" s="4">
        <v>1</v>
      </c>
      <c r="D74" s="4">
        <v>25</v>
      </c>
      <c r="E74" s="4">
        <v>35</v>
      </c>
      <c r="F74" s="138">
        <v>0.9</v>
      </c>
      <c r="G74" s="138">
        <v>0.4</v>
      </c>
      <c r="H74" s="4">
        <v>-8</v>
      </c>
      <c r="I74" s="4">
        <v>64</v>
      </c>
      <c r="J74" s="4">
        <v>100</v>
      </c>
      <c r="K74" s="4"/>
      <c r="L74" s="4"/>
      <c r="M74" s="4"/>
      <c r="N74" s="4"/>
      <c r="O74" s="4"/>
      <c r="P74" s="4"/>
      <c r="Q74" s="4"/>
      <c r="R74" s="4">
        <v>3</v>
      </c>
      <c r="S74" s="41"/>
      <c r="T74" s="81" t="s">
        <v>2506</v>
      </c>
      <c r="U74" s="75"/>
      <c r="V74" s="42" t="s">
        <v>828</v>
      </c>
      <c r="W74" s="20">
        <v>6</v>
      </c>
      <c r="X74" s="20">
        <v>15</v>
      </c>
    </row>
    <row r="75" spans="1:24" ht="30">
      <c r="A75" s="74" t="s">
        <v>829</v>
      </c>
      <c r="B75" s="81" t="s">
        <v>1242</v>
      </c>
      <c r="C75" s="4">
        <v>1</v>
      </c>
      <c r="D75" s="4">
        <v>25</v>
      </c>
      <c r="E75" s="4">
        <v>40</v>
      </c>
      <c r="F75" s="138">
        <v>0.75</v>
      </c>
      <c r="G75" s="138">
        <v>0.4</v>
      </c>
      <c r="H75" s="4">
        <v>-20</v>
      </c>
      <c r="I75" s="4">
        <v>44</v>
      </c>
      <c r="J75" s="4">
        <v>150</v>
      </c>
      <c r="K75" s="4"/>
      <c r="L75" s="4"/>
      <c r="M75" s="4"/>
      <c r="N75" s="4"/>
      <c r="O75" s="4"/>
      <c r="P75" s="4"/>
      <c r="Q75" s="4">
        <v>5</v>
      </c>
      <c r="R75" s="4">
        <v>3</v>
      </c>
      <c r="S75" s="41"/>
      <c r="T75" s="81" t="s">
        <v>2508</v>
      </c>
      <c r="U75" s="75"/>
      <c r="V75" s="42" t="s">
        <v>830</v>
      </c>
      <c r="W75" s="20">
        <v>6</v>
      </c>
      <c r="X75" s="20">
        <v>35</v>
      </c>
    </row>
    <row r="76" spans="1:24" ht="30">
      <c r="A76" s="74" t="s">
        <v>1253</v>
      </c>
      <c r="B76" s="81" t="s">
        <v>1242</v>
      </c>
      <c r="C76" s="4">
        <v>1</v>
      </c>
      <c r="D76" s="4">
        <v>30</v>
      </c>
      <c r="E76" s="4">
        <v>40</v>
      </c>
      <c r="F76" s="138">
        <v>1.1000000000000001</v>
      </c>
      <c r="G76" s="138">
        <v>0.4</v>
      </c>
      <c r="H76" s="4">
        <v>-10</v>
      </c>
      <c r="I76" s="4">
        <v>72</v>
      </c>
      <c r="J76" s="4">
        <v>400</v>
      </c>
      <c r="K76" s="4"/>
      <c r="L76" s="4"/>
      <c r="M76" s="4"/>
      <c r="N76" s="4"/>
      <c r="O76" s="4"/>
      <c r="P76" s="4"/>
      <c r="Q76" s="4"/>
      <c r="R76" s="4">
        <v>3</v>
      </c>
      <c r="S76" s="41"/>
      <c r="T76" s="81" t="s">
        <v>2509</v>
      </c>
      <c r="U76" s="75"/>
      <c r="V76" s="42"/>
      <c r="W76" s="20"/>
      <c r="X76" s="20"/>
    </row>
    <row r="77" spans="1:24" ht="30">
      <c r="A77" s="74" t="s">
        <v>831</v>
      </c>
      <c r="B77" s="81" t="s">
        <v>1242</v>
      </c>
      <c r="C77" s="4">
        <v>1</v>
      </c>
      <c r="D77" s="4">
        <v>30</v>
      </c>
      <c r="E77" s="4">
        <v>50</v>
      </c>
      <c r="F77" s="138">
        <v>0.9</v>
      </c>
      <c r="G77" s="138">
        <v>0.4</v>
      </c>
      <c r="H77" s="4">
        <v>-24</v>
      </c>
      <c r="I77" s="4">
        <v>68</v>
      </c>
      <c r="J77" s="4">
        <v>300</v>
      </c>
      <c r="K77" s="4"/>
      <c r="L77" s="4"/>
      <c r="M77" s="4"/>
      <c r="N77" s="4"/>
      <c r="O77" s="4"/>
      <c r="P77" s="4"/>
      <c r="Q77" s="4">
        <v>5</v>
      </c>
      <c r="R77" s="4">
        <v>3</v>
      </c>
      <c r="S77" s="41"/>
      <c r="T77" s="81" t="s">
        <v>2508</v>
      </c>
      <c r="U77" s="75"/>
      <c r="V77" s="42"/>
      <c r="W77" s="20"/>
      <c r="X77" s="20"/>
    </row>
    <row r="78" spans="1:24" ht="30">
      <c r="A78" s="74" t="s">
        <v>832</v>
      </c>
      <c r="B78" s="81" t="s">
        <v>1242</v>
      </c>
      <c r="C78" s="4">
        <v>1</v>
      </c>
      <c r="D78" s="4">
        <v>30</v>
      </c>
      <c r="E78" s="4">
        <v>45</v>
      </c>
      <c r="F78" s="138">
        <v>1</v>
      </c>
      <c r="G78" s="138">
        <v>0.4</v>
      </c>
      <c r="H78" s="4">
        <v>-10</v>
      </c>
      <c r="I78" s="4">
        <v>72</v>
      </c>
      <c r="J78" s="4">
        <v>650</v>
      </c>
      <c r="K78" s="4"/>
      <c r="L78" s="4"/>
      <c r="M78" s="4"/>
      <c r="N78" s="4"/>
      <c r="O78" s="4"/>
      <c r="P78" s="4"/>
      <c r="Q78" s="4"/>
      <c r="R78" s="4">
        <v>3</v>
      </c>
      <c r="S78" s="41"/>
      <c r="T78" s="81" t="s">
        <v>2509</v>
      </c>
      <c r="U78" s="75"/>
      <c r="V78" s="42"/>
      <c r="W78" s="20"/>
      <c r="X78" s="20"/>
    </row>
    <row r="79" spans="1:24" ht="30">
      <c r="A79" s="74" t="s">
        <v>1254</v>
      </c>
      <c r="B79" s="81" t="s">
        <v>1242</v>
      </c>
      <c r="C79" s="4">
        <v>1</v>
      </c>
      <c r="D79" s="4">
        <v>35</v>
      </c>
      <c r="E79" s="4">
        <v>50</v>
      </c>
      <c r="F79" s="138">
        <v>1.2</v>
      </c>
      <c r="G79" s="138">
        <v>0.4</v>
      </c>
      <c r="H79" s="4">
        <v>-10</v>
      </c>
      <c r="I79" s="4">
        <v>80</v>
      </c>
      <c r="J79" s="4">
        <v>2000</v>
      </c>
      <c r="K79" s="4"/>
      <c r="L79" s="4"/>
      <c r="M79" s="4"/>
      <c r="N79" s="4"/>
      <c r="O79" s="4"/>
      <c r="P79" s="4"/>
      <c r="Q79" s="4"/>
      <c r="R79" s="4">
        <v>3</v>
      </c>
      <c r="S79" s="41"/>
      <c r="T79" s="81" t="s">
        <v>2508</v>
      </c>
      <c r="U79" s="75"/>
      <c r="V79" s="42"/>
      <c r="W79" s="137"/>
      <c r="X79" s="20"/>
    </row>
    <row r="80" spans="1:24" ht="30">
      <c r="A80" s="74" t="s">
        <v>1255</v>
      </c>
      <c r="B80" s="81" t="s">
        <v>1242</v>
      </c>
      <c r="C80" s="4">
        <v>1</v>
      </c>
      <c r="D80" s="4">
        <v>35</v>
      </c>
      <c r="E80" s="4">
        <v>55</v>
      </c>
      <c r="F80" s="138">
        <v>1.1000000000000001</v>
      </c>
      <c r="G80" s="138">
        <v>0.4</v>
      </c>
      <c r="H80" s="4">
        <v>-10</v>
      </c>
      <c r="I80" s="4">
        <v>80</v>
      </c>
      <c r="J80" s="4">
        <v>2000</v>
      </c>
      <c r="K80" s="4"/>
      <c r="L80" s="4"/>
      <c r="M80" s="4"/>
      <c r="N80" s="4"/>
      <c r="O80" s="4"/>
      <c r="P80" s="4"/>
      <c r="Q80" s="4"/>
      <c r="R80" s="4">
        <v>3</v>
      </c>
      <c r="S80" s="41"/>
      <c r="T80" s="81" t="s">
        <v>2508</v>
      </c>
      <c r="U80" s="75"/>
      <c r="V80" s="42"/>
      <c r="W80" s="20"/>
      <c r="X80" s="20"/>
    </row>
    <row r="81" spans="1:24" ht="45">
      <c r="A81" s="74" t="s">
        <v>1256</v>
      </c>
      <c r="B81" s="81" t="s">
        <v>1242</v>
      </c>
      <c r="C81" s="4">
        <v>2</v>
      </c>
      <c r="D81" s="4">
        <v>50</v>
      </c>
      <c r="E81" s="4">
        <v>70</v>
      </c>
      <c r="F81" s="138">
        <v>1.1499999999999999</v>
      </c>
      <c r="G81" s="138">
        <v>0.6</v>
      </c>
      <c r="H81" s="4">
        <v>-14</v>
      </c>
      <c r="I81" s="4">
        <v>72</v>
      </c>
      <c r="J81" s="4">
        <v>900</v>
      </c>
      <c r="K81" s="4"/>
      <c r="L81" s="4">
        <v>22</v>
      </c>
      <c r="M81" s="4"/>
      <c r="N81" s="4"/>
      <c r="O81" s="4"/>
      <c r="P81" s="4"/>
      <c r="Q81" s="4"/>
      <c r="R81" s="4">
        <v>5</v>
      </c>
      <c r="S81" s="41"/>
      <c r="T81" s="81" t="s">
        <v>2510</v>
      </c>
      <c r="U81" s="75"/>
      <c r="V81" s="42" t="s">
        <v>833</v>
      </c>
      <c r="W81" s="20">
        <v>4</v>
      </c>
      <c r="X81" s="20">
        <v>13</v>
      </c>
    </row>
    <row r="82" spans="1:24" ht="45">
      <c r="A82" s="74" t="s">
        <v>1257</v>
      </c>
      <c r="B82" s="81" t="s">
        <v>1242</v>
      </c>
      <c r="C82" s="4">
        <v>2</v>
      </c>
      <c r="D82" s="4">
        <v>50</v>
      </c>
      <c r="E82" s="4">
        <v>75</v>
      </c>
      <c r="F82" s="138">
        <v>1.1499999999999999</v>
      </c>
      <c r="G82" s="138">
        <v>0.5</v>
      </c>
      <c r="H82" s="4">
        <v>-14</v>
      </c>
      <c r="I82" s="4">
        <v>80</v>
      </c>
      <c r="J82" s="4">
        <v>1100</v>
      </c>
      <c r="K82" s="4"/>
      <c r="L82" s="4">
        <v>22</v>
      </c>
      <c r="M82" s="4"/>
      <c r="N82" s="4"/>
      <c r="O82" s="4"/>
      <c r="P82" s="4"/>
      <c r="Q82" s="4"/>
      <c r="R82" s="4">
        <v>5</v>
      </c>
      <c r="S82" s="41"/>
      <c r="T82" s="81" t="s">
        <v>2452</v>
      </c>
      <c r="U82" s="75"/>
      <c r="V82" s="42" t="s">
        <v>834</v>
      </c>
      <c r="W82" s="137">
        <v>4</v>
      </c>
      <c r="X82" s="20">
        <v>25</v>
      </c>
    </row>
    <row r="83" spans="1:24" ht="15">
      <c r="A83" s="135" t="s">
        <v>1258</v>
      </c>
      <c r="B83" s="81" t="s">
        <v>1242</v>
      </c>
      <c r="C83" s="4">
        <v>2</v>
      </c>
      <c r="D83" s="4">
        <v>60</v>
      </c>
      <c r="E83" s="4">
        <v>75</v>
      </c>
      <c r="F83" s="138">
        <v>1.2</v>
      </c>
      <c r="G83" s="138">
        <v>0.4</v>
      </c>
      <c r="H83" s="4">
        <v>-14</v>
      </c>
      <c r="I83" s="4">
        <v>64</v>
      </c>
      <c r="J83" s="4">
        <v>1400</v>
      </c>
      <c r="K83" s="4"/>
      <c r="L83" s="4"/>
      <c r="M83" s="4"/>
      <c r="N83" s="4"/>
      <c r="O83" s="4"/>
      <c r="P83" s="4"/>
      <c r="Q83" s="4"/>
      <c r="R83" s="4">
        <v>6</v>
      </c>
      <c r="S83" s="41"/>
      <c r="T83" s="81" t="s">
        <v>2485</v>
      </c>
      <c r="U83" s="75"/>
      <c r="V83" s="42" t="s">
        <v>835</v>
      </c>
      <c r="W83" s="20">
        <v>6</v>
      </c>
      <c r="X83" s="20">
        <v>15</v>
      </c>
    </row>
    <row r="84" spans="1:24" ht="45">
      <c r="A84" s="135" t="s">
        <v>1259</v>
      </c>
      <c r="B84" s="81" t="s">
        <v>1242</v>
      </c>
      <c r="C84" s="4">
        <v>2</v>
      </c>
      <c r="D84" s="4">
        <v>75</v>
      </c>
      <c r="E84" s="4">
        <v>95</v>
      </c>
      <c r="F84" s="138">
        <v>1.25</v>
      </c>
      <c r="G84" s="138">
        <v>0.5</v>
      </c>
      <c r="H84" s="4">
        <v>-16</v>
      </c>
      <c r="I84" s="4">
        <v>120</v>
      </c>
      <c r="J84" s="4">
        <v>1900</v>
      </c>
      <c r="K84" s="4"/>
      <c r="L84" s="4">
        <v>32</v>
      </c>
      <c r="M84" s="4"/>
      <c r="N84" s="4"/>
      <c r="O84" s="4"/>
      <c r="P84" s="4"/>
      <c r="Q84" s="4"/>
      <c r="R84" s="4">
        <v>5</v>
      </c>
      <c r="S84" s="41"/>
      <c r="T84" s="81" t="s">
        <v>2510</v>
      </c>
      <c r="U84" s="75"/>
      <c r="V84" s="42"/>
      <c r="W84" s="20"/>
      <c r="X84" s="20"/>
    </row>
    <row r="85" spans="1:24" ht="30">
      <c r="A85" s="135" t="s">
        <v>836</v>
      </c>
      <c r="B85" s="81" t="s">
        <v>1261</v>
      </c>
      <c r="C85" s="4">
        <v>2</v>
      </c>
      <c r="D85" s="4">
        <v>30</v>
      </c>
      <c r="E85" s="4">
        <v>50</v>
      </c>
      <c r="F85" s="138">
        <v>0.75</v>
      </c>
      <c r="G85" s="138">
        <v>0.3</v>
      </c>
      <c r="H85" s="4">
        <v>-6</v>
      </c>
      <c r="I85" s="4">
        <v>40</v>
      </c>
      <c r="J85" s="4">
        <v>150</v>
      </c>
      <c r="K85" s="4">
        <v>5</v>
      </c>
      <c r="L85" s="4"/>
      <c r="M85" s="4">
        <v>1</v>
      </c>
      <c r="N85" s="4">
        <v>2</v>
      </c>
      <c r="O85" s="4">
        <v>2</v>
      </c>
      <c r="P85" s="4"/>
      <c r="Q85" s="4"/>
      <c r="R85" s="4">
        <v>6</v>
      </c>
      <c r="S85" s="41"/>
      <c r="T85" s="81" t="s">
        <v>2453</v>
      </c>
      <c r="U85" s="75"/>
      <c r="V85" s="42" t="s">
        <v>837</v>
      </c>
      <c r="W85" s="20">
        <v>6</v>
      </c>
      <c r="X85" s="20">
        <v>30</v>
      </c>
    </row>
    <row r="86" spans="1:24" ht="30">
      <c r="A86" s="135" t="s">
        <v>838</v>
      </c>
      <c r="B86" s="81" t="s">
        <v>1261</v>
      </c>
      <c r="C86" s="4">
        <v>2</v>
      </c>
      <c r="D86" s="4">
        <v>35</v>
      </c>
      <c r="E86" s="4">
        <v>55</v>
      </c>
      <c r="F86" s="138">
        <v>0.8</v>
      </c>
      <c r="G86" s="138">
        <v>0.3</v>
      </c>
      <c r="H86" s="4">
        <v>-12</v>
      </c>
      <c r="I86" s="4">
        <v>26</v>
      </c>
      <c r="J86" s="4">
        <v>350</v>
      </c>
      <c r="K86" s="4"/>
      <c r="L86" s="4"/>
      <c r="M86" s="4"/>
      <c r="N86" s="4"/>
      <c r="O86" s="4"/>
      <c r="P86" s="4"/>
      <c r="Q86" s="4"/>
      <c r="R86" s="4">
        <v>6</v>
      </c>
      <c r="S86" s="41"/>
      <c r="T86" s="81" t="s">
        <v>2511</v>
      </c>
      <c r="U86" s="75"/>
      <c r="V86" s="42" t="str">
        <f t="shared" ref="V86:X86" si="2">V5</f>
        <v>split_shield</v>
      </c>
      <c r="W86" s="20">
        <f t="shared" si="2"/>
        <v>4</v>
      </c>
      <c r="X86" s="20">
        <f t="shared" si="2"/>
        <v>15</v>
      </c>
    </row>
    <row r="87" spans="1:24" ht="30">
      <c r="A87" s="135" t="s">
        <v>839</v>
      </c>
      <c r="B87" s="81" t="s">
        <v>1261</v>
      </c>
      <c r="C87" s="4">
        <v>2</v>
      </c>
      <c r="D87" s="4">
        <v>40</v>
      </c>
      <c r="E87" s="4">
        <v>70</v>
      </c>
      <c r="F87" s="138">
        <v>1.1000000000000001</v>
      </c>
      <c r="G87" s="138">
        <v>0.3</v>
      </c>
      <c r="H87" s="4">
        <v>-12</v>
      </c>
      <c r="I87" s="4">
        <v>55</v>
      </c>
      <c r="J87" s="4">
        <v>700</v>
      </c>
      <c r="K87" s="4">
        <v>5</v>
      </c>
      <c r="L87" s="4"/>
      <c r="M87" s="4">
        <v>1</v>
      </c>
      <c r="N87" s="4">
        <v>2</v>
      </c>
      <c r="O87" s="4">
        <v>2</v>
      </c>
      <c r="P87" s="4"/>
      <c r="Q87" s="4"/>
      <c r="R87" s="4">
        <v>6</v>
      </c>
      <c r="S87" s="41"/>
      <c r="T87" s="81" t="s">
        <v>2512</v>
      </c>
      <c r="U87" s="75"/>
      <c r="V87" s="42"/>
      <c r="W87" s="20"/>
      <c r="X87" s="20"/>
    </row>
    <row r="88" spans="1:24" ht="30">
      <c r="A88" s="135" t="s">
        <v>840</v>
      </c>
      <c r="B88" s="81" t="s">
        <v>1261</v>
      </c>
      <c r="C88" s="4">
        <v>2</v>
      </c>
      <c r="D88" s="4">
        <v>50</v>
      </c>
      <c r="E88" s="4">
        <v>70</v>
      </c>
      <c r="F88" s="138">
        <v>0.9</v>
      </c>
      <c r="G88" s="138">
        <v>0.25</v>
      </c>
      <c r="H88" s="4">
        <v>-8</v>
      </c>
      <c r="I88" s="4">
        <v>40</v>
      </c>
      <c r="J88" s="4">
        <v>800</v>
      </c>
      <c r="K88" s="4">
        <v>5</v>
      </c>
      <c r="L88" s="4"/>
      <c r="M88" s="4">
        <v>1</v>
      </c>
      <c r="N88" s="4">
        <v>2</v>
      </c>
      <c r="O88" s="4">
        <v>2</v>
      </c>
      <c r="P88" s="4"/>
      <c r="Q88" s="4"/>
      <c r="R88" s="4">
        <v>7</v>
      </c>
      <c r="S88" s="41"/>
      <c r="T88" s="81" t="s">
        <v>2513</v>
      </c>
      <c r="U88" s="75"/>
      <c r="V88" s="42"/>
      <c r="W88" s="20"/>
      <c r="X88" s="20"/>
    </row>
    <row r="89" spans="1:24" ht="30">
      <c r="A89" s="135" t="s">
        <v>841</v>
      </c>
      <c r="B89" s="81" t="s">
        <v>1261</v>
      </c>
      <c r="C89" s="4">
        <v>2</v>
      </c>
      <c r="D89" s="4">
        <v>55</v>
      </c>
      <c r="E89" s="4">
        <v>80</v>
      </c>
      <c r="F89" s="138">
        <v>1.25</v>
      </c>
      <c r="G89" s="138">
        <v>0.3</v>
      </c>
      <c r="H89" s="4">
        <v>-14</v>
      </c>
      <c r="I89" s="4">
        <v>30</v>
      </c>
      <c r="J89" s="4">
        <v>600</v>
      </c>
      <c r="K89" s="4">
        <v>5</v>
      </c>
      <c r="L89" s="4"/>
      <c r="M89" s="4">
        <v>1</v>
      </c>
      <c r="N89" s="4">
        <v>2</v>
      </c>
      <c r="O89" s="4">
        <v>2</v>
      </c>
      <c r="P89" s="4"/>
      <c r="Q89" s="4"/>
      <c r="R89" s="4">
        <v>7</v>
      </c>
      <c r="S89" s="41"/>
      <c r="T89" s="81" t="s">
        <v>2514</v>
      </c>
      <c r="U89" s="75"/>
      <c r="V89" s="42"/>
      <c r="W89" s="20"/>
      <c r="X89" s="20"/>
    </row>
    <row r="90" spans="1:24" ht="30">
      <c r="A90" s="135" t="s">
        <v>842</v>
      </c>
      <c r="B90" s="81" t="s">
        <v>1261</v>
      </c>
      <c r="C90" s="4">
        <v>2</v>
      </c>
      <c r="D90" s="4">
        <v>55</v>
      </c>
      <c r="E90" s="4">
        <v>80</v>
      </c>
      <c r="F90" s="138">
        <v>1.05</v>
      </c>
      <c r="G90" s="138">
        <v>0.3</v>
      </c>
      <c r="H90" s="4">
        <v>-16</v>
      </c>
      <c r="I90" s="4">
        <v>36</v>
      </c>
      <c r="J90" s="4">
        <v>700</v>
      </c>
      <c r="K90" s="4"/>
      <c r="L90" s="4"/>
      <c r="M90" s="4"/>
      <c r="N90" s="4"/>
      <c r="O90" s="4"/>
      <c r="P90" s="4"/>
      <c r="Q90" s="4"/>
      <c r="R90" s="4">
        <v>6</v>
      </c>
      <c r="S90" s="41"/>
      <c r="T90" s="81" t="s">
        <v>2515</v>
      </c>
      <c r="U90" s="75"/>
      <c r="V90" s="42"/>
      <c r="W90" s="20"/>
      <c r="X90" s="20"/>
    </row>
    <row r="91" spans="1:24" ht="30">
      <c r="A91" s="135" t="s">
        <v>843</v>
      </c>
      <c r="B91" s="81" t="s">
        <v>1261</v>
      </c>
      <c r="C91" s="4">
        <v>2</v>
      </c>
      <c r="D91" s="4">
        <v>55</v>
      </c>
      <c r="E91" s="4">
        <v>85</v>
      </c>
      <c r="F91" s="138">
        <v>1.4</v>
      </c>
      <c r="G91" s="138">
        <v>0.3</v>
      </c>
      <c r="H91" s="4">
        <v>-14</v>
      </c>
      <c r="I91" s="4">
        <v>72</v>
      </c>
      <c r="J91" s="4">
        <v>1400</v>
      </c>
      <c r="K91" s="4">
        <v>5</v>
      </c>
      <c r="L91" s="4"/>
      <c r="M91" s="4">
        <v>1</v>
      </c>
      <c r="N91" s="4">
        <v>2</v>
      </c>
      <c r="O91" s="4">
        <v>2</v>
      </c>
      <c r="P91" s="4"/>
      <c r="Q91" s="4"/>
      <c r="R91" s="4">
        <v>6</v>
      </c>
      <c r="S91" s="41"/>
      <c r="T91" s="81" t="s">
        <v>2516</v>
      </c>
      <c r="U91" s="75"/>
      <c r="V91" s="42"/>
      <c r="W91" s="20"/>
      <c r="X91" s="20"/>
    </row>
    <row r="92" spans="1:24" ht="45">
      <c r="A92" s="74" t="s">
        <v>844</v>
      </c>
      <c r="B92" s="81" t="s">
        <v>1261</v>
      </c>
      <c r="C92" s="4">
        <v>2</v>
      </c>
      <c r="D92" s="4">
        <v>60</v>
      </c>
      <c r="E92" s="4">
        <v>80</v>
      </c>
      <c r="F92" s="138">
        <v>1.4</v>
      </c>
      <c r="G92" s="138">
        <v>0.3</v>
      </c>
      <c r="H92" s="4">
        <v>-18</v>
      </c>
      <c r="I92" s="4">
        <v>84</v>
      </c>
      <c r="J92" s="4">
        <v>2500</v>
      </c>
      <c r="K92" s="4">
        <v>5</v>
      </c>
      <c r="L92" s="4"/>
      <c r="M92" s="4">
        <v>1</v>
      </c>
      <c r="N92" s="4">
        <v>2</v>
      </c>
      <c r="O92" s="4">
        <v>2</v>
      </c>
      <c r="P92" s="4"/>
      <c r="Q92" s="4"/>
      <c r="R92" s="4">
        <v>7</v>
      </c>
      <c r="S92" s="41"/>
      <c r="T92" s="81" t="s">
        <v>2517</v>
      </c>
      <c r="U92" s="75"/>
      <c r="V92" s="42"/>
      <c r="W92" s="20"/>
      <c r="X92" s="20"/>
    </row>
    <row r="93" spans="1:24" ht="30">
      <c r="A93" s="135" t="s">
        <v>845</v>
      </c>
      <c r="B93" s="81" t="s">
        <v>1261</v>
      </c>
      <c r="C93" s="4">
        <v>2</v>
      </c>
      <c r="D93" s="4">
        <v>60</v>
      </c>
      <c r="E93" s="4">
        <v>80</v>
      </c>
      <c r="F93" s="138">
        <v>1</v>
      </c>
      <c r="G93" s="138">
        <v>0.3</v>
      </c>
      <c r="H93" s="4">
        <v>-14</v>
      </c>
      <c r="I93" s="4">
        <v>64</v>
      </c>
      <c r="J93" s="4">
        <v>900</v>
      </c>
      <c r="K93" s="4">
        <v>5</v>
      </c>
      <c r="L93" s="4"/>
      <c r="M93" s="4">
        <v>1</v>
      </c>
      <c r="N93" s="4">
        <v>2</v>
      </c>
      <c r="O93" s="4">
        <v>2</v>
      </c>
      <c r="P93" s="4"/>
      <c r="Q93" s="4"/>
      <c r="R93" s="4">
        <v>7</v>
      </c>
      <c r="S93" s="41"/>
      <c r="T93" s="81" t="s">
        <v>2514</v>
      </c>
      <c r="U93" s="75"/>
      <c r="V93" s="42"/>
      <c r="W93" s="20"/>
      <c r="X93" s="20"/>
    </row>
    <row r="94" spans="1:24" ht="30">
      <c r="A94" s="135" t="s">
        <v>1333</v>
      </c>
      <c r="B94" s="81" t="s">
        <v>1261</v>
      </c>
      <c r="C94" s="4">
        <v>2</v>
      </c>
      <c r="D94" s="4">
        <v>60</v>
      </c>
      <c r="E94" s="4">
        <v>80</v>
      </c>
      <c r="F94" s="138">
        <v>0.9</v>
      </c>
      <c r="G94" s="138">
        <v>0.3</v>
      </c>
      <c r="H94" s="4">
        <v>-14</v>
      </c>
      <c r="I94" s="4">
        <v>52</v>
      </c>
      <c r="J94" s="4">
        <v>1300</v>
      </c>
      <c r="K94" s="4"/>
      <c r="L94" s="4"/>
      <c r="M94" s="4">
        <v>1</v>
      </c>
      <c r="N94" s="4">
        <v>2</v>
      </c>
      <c r="O94" s="4">
        <v>2</v>
      </c>
      <c r="P94" s="4"/>
      <c r="Q94" s="4"/>
      <c r="R94" s="4">
        <v>6</v>
      </c>
      <c r="S94" s="41"/>
      <c r="T94" s="81" t="s">
        <v>2515</v>
      </c>
      <c r="U94" s="75"/>
      <c r="V94" s="42"/>
      <c r="W94" s="20"/>
      <c r="X94" s="20"/>
    </row>
    <row r="95" spans="1:24" ht="15">
      <c r="A95" s="135" t="s">
        <v>846</v>
      </c>
      <c r="B95" s="142" t="s">
        <v>1261</v>
      </c>
      <c r="C95" s="143">
        <v>2</v>
      </c>
      <c r="D95" s="144">
        <v>50</v>
      </c>
      <c r="E95" s="144">
        <v>70</v>
      </c>
      <c r="F95" s="145">
        <v>1</v>
      </c>
      <c r="G95" s="146">
        <v>0.3</v>
      </c>
      <c r="H95" s="147">
        <v>-15</v>
      </c>
      <c r="I95" s="148">
        <v>64</v>
      </c>
      <c r="J95" s="149">
        <v>1500</v>
      </c>
      <c r="K95" s="150"/>
      <c r="L95" s="150"/>
      <c r="M95" s="143">
        <v>1</v>
      </c>
      <c r="N95" s="143">
        <v>2</v>
      </c>
      <c r="O95" s="143">
        <v>2</v>
      </c>
      <c r="P95" s="150"/>
      <c r="Q95" s="150"/>
      <c r="R95" s="143">
        <v>7</v>
      </c>
      <c r="S95" s="19"/>
      <c r="T95" s="150"/>
      <c r="U95" s="75"/>
      <c r="V95" s="42"/>
      <c r="W95" s="20"/>
      <c r="X95" s="20"/>
    </row>
    <row r="96" spans="1:24" ht="15">
      <c r="A96" s="151" t="s">
        <v>847</v>
      </c>
      <c r="B96" s="152" t="s">
        <v>1261</v>
      </c>
      <c r="C96" s="143">
        <v>2</v>
      </c>
      <c r="D96" s="153">
        <v>60</v>
      </c>
      <c r="E96" s="153">
        <v>80</v>
      </c>
      <c r="F96" s="145">
        <v>1</v>
      </c>
      <c r="G96" s="146">
        <v>0.3</v>
      </c>
      <c r="H96" s="154">
        <v>-14</v>
      </c>
      <c r="I96" s="150"/>
      <c r="J96" s="22">
        <v>1000</v>
      </c>
      <c r="K96" s="150"/>
      <c r="L96" s="150"/>
      <c r="M96" s="143">
        <v>1</v>
      </c>
      <c r="N96" s="143">
        <v>2</v>
      </c>
      <c r="O96" s="143">
        <v>2</v>
      </c>
      <c r="P96" s="150"/>
      <c r="Q96" s="150"/>
      <c r="R96" s="143">
        <v>6</v>
      </c>
      <c r="S96" s="19"/>
      <c r="T96" s="150"/>
      <c r="U96" s="75"/>
      <c r="V96" s="42"/>
      <c r="W96" s="20"/>
      <c r="X96" s="20"/>
    </row>
    <row r="97" spans="1:24" ht="75">
      <c r="A97" s="135" t="s">
        <v>1280</v>
      </c>
      <c r="B97" s="81" t="s">
        <v>1271</v>
      </c>
      <c r="C97" s="4">
        <v>1</v>
      </c>
      <c r="D97" s="4">
        <v>20</v>
      </c>
      <c r="E97" s="4">
        <v>35</v>
      </c>
      <c r="F97" s="138">
        <v>1</v>
      </c>
      <c r="G97" s="138">
        <v>0.25</v>
      </c>
      <c r="H97" s="4">
        <v>-6</v>
      </c>
      <c r="I97" s="4">
        <v>36</v>
      </c>
      <c r="J97" s="4">
        <v>150</v>
      </c>
      <c r="K97" s="4"/>
      <c r="L97" s="4"/>
      <c r="M97" s="4"/>
      <c r="N97" s="4"/>
      <c r="O97" s="4"/>
      <c r="P97" s="4"/>
      <c r="Q97" s="4"/>
      <c r="R97" s="4">
        <v>5</v>
      </c>
      <c r="S97" s="177" t="s">
        <v>1092</v>
      </c>
      <c r="T97" s="81" t="s">
        <v>2518</v>
      </c>
      <c r="U97" s="75"/>
      <c r="V97" s="42"/>
      <c r="W97" s="20"/>
      <c r="X97" s="20"/>
    </row>
    <row r="98" spans="1:24" ht="30">
      <c r="A98" s="135" t="s">
        <v>1281</v>
      </c>
      <c r="B98" s="81" t="s">
        <v>1271</v>
      </c>
      <c r="C98" s="4">
        <v>1</v>
      </c>
      <c r="D98" s="4">
        <v>25</v>
      </c>
      <c r="E98" s="4">
        <v>30</v>
      </c>
      <c r="F98" s="138">
        <v>0.9</v>
      </c>
      <c r="G98" s="138">
        <v>0.25</v>
      </c>
      <c r="H98" s="4">
        <v>-6</v>
      </c>
      <c r="I98" s="4">
        <v>48</v>
      </c>
      <c r="J98" s="4">
        <v>180</v>
      </c>
      <c r="K98" s="4"/>
      <c r="L98" s="4"/>
      <c r="M98" s="4"/>
      <c r="N98" s="4"/>
      <c r="O98" s="4"/>
      <c r="P98" s="4"/>
      <c r="Q98" s="4"/>
      <c r="R98" s="4">
        <v>5</v>
      </c>
      <c r="S98" s="41"/>
      <c r="T98" s="81" t="s">
        <v>2518</v>
      </c>
      <c r="U98" s="75"/>
      <c r="V98" s="42"/>
      <c r="W98" s="20"/>
      <c r="X98" s="20"/>
    </row>
    <row r="99" spans="1:24" ht="30">
      <c r="A99" s="135" t="s">
        <v>848</v>
      </c>
      <c r="B99" s="81" t="s">
        <v>1271</v>
      </c>
      <c r="C99" s="4">
        <v>1</v>
      </c>
      <c r="D99" s="4">
        <v>30</v>
      </c>
      <c r="E99" s="4">
        <v>35</v>
      </c>
      <c r="F99" s="138">
        <v>1.1000000000000001</v>
      </c>
      <c r="G99" s="138">
        <v>0.25</v>
      </c>
      <c r="H99" s="4">
        <v>-12</v>
      </c>
      <c r="I99" s="4">
        <v>48</v>
      </c>
      <c r="J99" s="4">
        <v>750</v>
      </c>
      <c r="K99" s="4"/>
      <c r="L99" s="4"/>
      <c r="M99" s="4"/>
      <c r="N99" s="4"/>
      <c r="O99" s="4"/>
      <c r="P99" s="4"/>
      <c r="Q99" s="4"/>
      <c r="R99" s="4">
        <v>5</v>
      </c>
      <c r="S99" s="41"/>
      <c r="T99" s="81" t="s">
        <v>2519</v>
      </c>
      <c r="U99" s="75"/>
      <c r="V99" s="42"/>
      <c r="W99" s="20"/>
      <c r="X99" s="20"/>
    </row>
    <row r="100" spans="1:24" ht="30">
      <c r="A100" s="135" t="s">
        <v>1282</v>
      </c>
      <c r="B100" s="81" t="s">
        <v>1271</v>
      </c>
      <c r="C100" s="4">
        <v>1</v>
      </c>
      <c r="D100" s="4">
        <v>30</v>
      </c>
      <c r="E100" s="4">
        <v>35</v>
      </c>
      <c r="F100" s="138">
        <v>0.95</v>
      </c>
      <c r="G100" s="138">
        <v>0.25</v>
      </c>
      <c r="H100" s="4">
        <v>-8</v>
      </c>
      <c r="I100" s="4">
        <v>64</v>
      </c>
      <c r="J100" s="4">
        <v>750</v>
      </c>
      <c r="K100" s="4"/>
      <c r="L100" s="4"/>
      <c r="M100" s="4"/>
      <c r="N100" s="4"/>
      <c r="O100" s="4"/>
      <c r="P100" s="4"/>
      <c r="Q100" s="4"/>
      <c r="R100" s="4">
        <v>5</v>
      </c>
      <c r="S100" s="41"/>
      <c r="T100" s="81" t="s">
        <v>2520</v>
      </c>
      <c r="U100" s="75"/>
      <c r="V100" s="42"/>
      <c r="W100" s="20"/>
      <c r="X100" s="20"/>
    </row>
    <row r="101" spans="1:24" ht="30">
      <c r="A101" s="135" t="s">
        <v>1283</v>
      </c>
      <c r="B101" s="81" t="s">
        <v>1271</v>
      </c>
      <c r="C101" s="4">
        <v>1</v>
      </c>
      <c r="D101" s="4">
        <v>35</v>
      </c>
      <c r="E101" s="4">
        <v>40</v>
      </c>
      <c r="F101" s="138">
        <v>1</v>
      </c>
      <c r="G101" s="138">
        <v>0.25</v>
      </c>
      <c r="H101" s="4">
        <v>-10</v>
      </c>
      <c r="I101" s="4">
        <v>72</v>
      </c>
      <c r="J101" s="4">
        <v>2250</v>
      </c>
      <c r="K101" s="4"/>
      <c r="L101" s="4"/>
      <c r="M101" s="4"/>
      <c r="N101" s="4"/>
      <c r="O101" s="4"/>
      <c r="P101" s="4"/>
      <c r="Q101" s="4"/>
      <c r="R101" s="4">
        <v>5</v>
      </c>
      <c r="S101" s="41"/>
      <c r="T101" s="81" t="s">
        <v>2521</v>
      </c>
      <c r="U101" s="75"/>
      <c r="V101" s="42" t="s">
        <v>849</v>
      </c>
      <c r="W101" s="20">
        <v>6</v>
      </c>
      <c r="X101" s="20">
        <v>15</v>
      </c>
    </row>
    <row r="102" spans="1:24" ht="30">
      <c r="A102" s="135" t="s">
        <v>850</v>
      </c>
      <c r="B102" s="81" t="s">
        <v>1271</v>
      </c>
      <c r="C102" s="4">
        <v>2</v>
      </c>
      <c r="D102" s="4">
        <v>40</v>
      </c>
      <c r="E102" s="4">
        <v>60</v>
      </c>
      <c r="F102" s="138">
        <v>1</v>
      </c>
      <c r="G102" s="138">
        <v>0.25</v>
      </c>
      <c r="H102" s="4">
        <v>-10</v>
      </c>
      <c r="I102" s="4">
        <v>50</v>
      </c>
      <c r="J102" s="4">
        <v>400</v>
      </c>
      <c r="K102" s="4">
        <v>5</v>
      </c>
      <c r="L102" s="4"/>
      <c r="M102" s="4"/>
      <c r="N102" s="4"/>
      <c r="O102" s="4"/>
      <c r="P102" s="4"/>
      <c r="Q102" s="4"/>
      <c r="R102" s="4">
        <v>6</v>
      </c>
      <c r="S102" s="41"/>
      <c r="T102" s="81" t="s">
        <v>2454</v>
      </c>
      <c r="U102" s="75"/>
      <c r="V102" s="42" t="s">
        <v>851</v>
      </c>
      <c r="W102" s="20">
        <v>5</v>
      </c>
      <c r="X102" s="20">
        <v>12</v>
      </c>
    </row>
    <row r="103" spans="1:24" ht="30">
      <c r="A103" s="135" t="s">
        <v>852</v>
      </c>
      <c r="B103" s="81" t="s">
        <v>1271</v>
      </c>
      <c r="C103" s="4">
        <v>2</v>
      </c>
      <c r="D103" s="4">
        <v>55</v>
      </c>
      <c r="E103" s="4">
        <v>75</v>
      </c>
      <c r="F103" s="138">
        <v>1</v>
      </c>
      <c r="G103" s="138">
        <v>0.25</v>
      </c>
      <c r="H103" s="4">
        <v>-14</v>
      </c>
      <c r="I103" s="4">
        <v>60</v>
      </c>
      <c r="J103" s="4">
        <v>750</v>
      </c>
      <c r="K103" s="4"/>
      <c r="L103" s="4"/>
      <c r="M103" s="4"/>
      <c r="N103" s="4"/>
      <c r="O103" s="4"/>
      <c r="P103" s="4"/>
      <c r="Q103" s="4"/>
      <c r="R103" s="4">
        <v>6</v>
      </c>
      <c r="S103" s="43"/>
      <c r="T103" s="43" t="s">
        <v>2522</v>
      </c>
      <c r="U103" s="75"/>
      <c r="V103" s="42" t="s">
        <v>784</v>
      </c>
      <c r="W103" s="20">
        <v>6</v>
      </c>
      <c r="X103" s="20">
        <v>15</v>
      </c>
    </row>
    <row r="104" spans="1:24" ht="45">
      <c r="A104" s="74" t="s">
        <v>853</v>
      </c>
      <c r="B104" s="81" t="s">
        <v>1284</v>
      </c>
      <c r="C104" s="4">
        <v>2</v>
      </c>
      <c r="D104" s="4">
        <v>45</v>
      </c>
      <c r="E104" s="4">
        <v>75</v>
      </c>
      <c r="F104" s="138">
        <v>1.1000000000000001</v>
      </c>
      <c r="G104" s="138">
        <v>0.25</v>
      </c>
      <c r="H104" s="4">
        <v>-14</v>
      </c>
      <c r="I104" s="4">
        <v>64</v>
      </c>
      <c r="J104" s="4">
        <v>600</v>
      </c>
      <c r="K104" s="4"/>
      <c r="L104" s="4"/>
      <c r="M104" s="4"/>
      <c r="N104" s="4"/>
      <c r="O104" s="4"/>
      <c r="P104" s="4"/>
      <c r="Q104" s="4"/>
      <c r="R104" s="4">
        <v>5</v>
      </c>
      <c r="S104" s="41"/>
      <c r="T104" s="81" t="s">
        <v>2523</v>
      </c>
      <c r="U104" s="75"/>
      <c r="V104" s="42" t="s">
        <v>854</v>
      </c>
      <c r="W104" s="20">
        <v>6</v>
      </c>
      <c r="X104" s="20">
        <v>25</v>
      </c>
    </row>
    <row r="105" spans="1:24" ht="45">
      <c r="A105" s="74" t="s">
        <v>1285</v>
      </c>
      <c r="B105" s="81" t="s">
        <v>1334</v>
      </c>
      <c r="C105" s="4">
        <v>1</v>
      </c>
      <c r="D105" s="4">
        <v>25</v>
      </c>
      <c r="E105" s="4">
        <v>35</v>
      </c>
      <c r="F105" s="138">
        <v>0.7</v>
      </c>
      <c r="G105" s="138">
        <v>0.25</v>
      </c>
      <c r="H105" s="4">
        <v>-3</v>
      </c>
      <c r="I105" s="4">
        <v>36</v>
      </c>
      <c r="J105" s="4">
        <v>300</v>
      </c>
      <c r="K105" s="4"/>
      <c r="L105" s="4"/>
      <c r="M105" s="4"/>
      <c r="N105" s="4"/>
      <c r="O105" s="4"/>
      <c r="P105" s="4"/>
      <c r="Q105" s="4"/>
      <c r="R105" s="4">
        <v>5</v>
      </c>
      <c r="S105" s="41"/>
      <c r="T105" s="81" t="s">
        <v>2455</v>
      </c>
      <c r="U105" s="75"/>
      <c r="V105" s="42" t="s">
        <v>855</v>
      </c>
      <c r="W105" s="20">
        <v>6</v>
      </c>
      <c r="X105" s="20">
        <v>25</v>
      </c>
    </row>
    <row r="106" spans="1:24" ht="30">
      <c r="A106" s="74" t="s">
        <v>1335</v>
      </c>
      <c r="B106" s="81" t="s">
        <v>1290</v>
      </c>
      <c r="C106" s="4">
        <v>1</v>
      </c>
      <c r="D106" s="4">
        <v>30</v>
      </c>
      <c r="E106" s="4">
        <v>35</v>
      </c>
      <c r="F106" s="138">
        <v>0.75</v>
      </c>
      <c r="G106" s="138">
        <v>0.2</v>
      </c>
      <c r="H106" s="4">
        <v>-3</v>
      </c>
      <c r="I106" s="4">
        <v>24</v>
      </c>
      <c r="J106" s="4">
        <v>200</v>
      </c>
      <c r="K106" s="4"/>
      <c r="L106" s="4"/>
      <c r="M106" s="4"/>
      <c r="N106" s="4"/>
      <c r="O106" s="4"/>
      <c r="P106" s="4"/>
      <c r="Q106" s="4"/>
      <c r="R106" s="4">
        <v>3</v>
      </c>
      <c r="S106" s="41"/>
      <c r="T106" s="81" t="s">
        <v>2524</v>
      </c>
      <c r="U106" s="75"/>
      <c r="V106" s="42" t="s">
        <v>856</v>
      </c>
      <c r="W106" s="20">
        <v>6</v>
      </c>
      <c r="X106" s="20">
        <v>30</v>
      </c>
    </row>
    <row r="107" spans="1:24" ht="73.5">
      <c r="A107" s="74" t="s">
        <v>1336</v>
      </c>
      <c r="B107" s="81" t="s">
        <v>1290</v>
      </c>
      <c r="C107" s="4">
        <v>1</v>
      </c>
      <c r="D107" s="4">
        <v>30</v>
      </c>
      <c r="E107" s="4">
        <v>40</v>
      </c>
      <c r="F107" s="138">
        <v>0.75</v>
      </c>
      <c r="G107" s="138">
        <v>0.2</v>
      </c>
      <c r="H107" s="4">
        <v>-4</v>
      </c>
      <c r="I107" s="4">
        <v>48</v>
      </c>
      <c r="J107" s="4">
        <v>350</v>
      </c>
      <c r="K107" s="4"/>
      <c r="L107" s="4"/>
      <c r="M107" s="4"/>
      <c r="N107" s="4"/>
      <c r="O107" s="4"/>
      <c r="P107" s="4"/>
      <c r="Q107" s="4"/>
      <c r="R107" s="4">
        <v>3</v>
      </c>
      <c r="S107" s="177" t="s">
        <v>1093</v>
      </c>
      <c r="T107" s="81" t="s">
        <v>2524</v>
      </c>
      <c r="U107" s="75"/>
      <c r="V107" s="42"/>
      <c r="W107" s="20"/>
      <c r="X107" s="20"/>
    </row>
    <row r="108" spans="1:24" ht="30">
      <c r="A108" s="74" t="s">
        <v>857</v>
      </c>
      <c r="B108" s="81" t="s">
        <v>1290</v>
      </c>
      <c r="C108" s="4">
        <v>1</v>
      </c>
      <c r="D108" s="4">
        <v>30</v>
      </c>
      <c r="E108" s="4">
        <v>35</v>
      </c>
      <c r="F108" s="138">
        <v>0.65</v>
      </c>
      <c r="G108" s="138">
        <v>0.25</v>
      </c>
      <c r="H108" s="4">
        <v>-4</v>
      </c>
      <c r="I108" s="4">
        <v>48</v>
      </c>
      <c r="J108" s="4">
        <v>900</v>
      </c>
      <c r="K108" s="4"/>
      <c r="L108" s="4"/>
      <c r="M108" s="4"/>
      <c r="N108" s="4"/>
      <c r="O108" s="4"/>
      <c r="P108" s="4"/>
      <c r="Q108" s="4"/>
      <c r="R108" s="4">
        <v>3</v>
      </c>
      <c r="S108" s="41"/>
      <c r="T108" s="81" t="s">
        <v>2456</v>
      </c>
      <c r="U108" s="75"/>
      <c r="V108" s="42"/>
      <c r="W108" s="20"/>
      <c r="X108" s="20"/>
    </row>
    <row r="109" spans="1:24" ht="30">
      <c r="A109" s="135" t="s">
        <v>858</v>
      </c>
      <c r="B109" s="81" t="s">
        <v>1290</v>
      </c>
      <c r="C109" s="4">
        <v>1</v>
      </c>
      <c r="D109" s="4">
        <v>35</v>
      </c>
      <c r="E109" s="4">
        <v>40</v>
      </c>
      <c r="F109" s="138">
        <v>0.65</v>
      </c>
      <c r="G109" s="138">
        <v>0.2</v>
      </c>
      <c r="H109" s="4">
        <v>-4</v>
      </c>
      <c r="I109" s="4">
        <v>48</v>
      </c>
      <c r="J109" s="4">
        <v>350</v>
      </c>
      <c r="K109" s="4"/>
      <c r="L109" s="4"/>
      <c r="M109" s="4"/>
      <c r="N109" s="4"/>
      <c r="O109" s="4"/>
      <c r="P109" s="4"/>
      <c r="Q109" s="4"/>
      <c r="R109" s="4">
        <v>3</v>
      </c>
      <c r="S109" s="41"/>
      <c r="T109" s="81" t="s">
        <v>2525</v>
      </c>
      <c r="U109" s="75"/>
      <c r="V109" s="42" t="s">
        <v>859</v>
      </c>
      <c r="W109" s="20">
        <v>4</v>
      </c>
      <c r="X109" s="20">
        <v>10</v>
      </c>
    </row>
    <row r="110" spans="1:24" ht="30">
      <c r="A110" s="74" t="s">
        <v>860</v>
      </c>
      <c r="B110" s="81" t="s">
        <v>1290</v>
      </c>
      <c r="C110" s="4">
        <v>1</v>
      </c>
      <c r="D110" s="4">
        <v>35</v>
      </c>
      <c r="E110" s="4">
        <v>45</v>
      </c>
      <c r="F110" s="138">
        <v>0.7</v>
      </c>
      <c r="G110" s="138">
        <v>0.2</v>
      </c>
      <c r="H110" s="4">
        <v>-6</v>
      </c>
      <c r="I110" s="4">
        <v>48</v>
      </c>
      <c r="J110" s="4">
        <v>500</v>
      </c>
      <c r="K110" s="4"/>
      <c r="L110" s="4"/>
      <c r="M110" s="4"/>
      <c r="N110" s="4"/>
      <c r="O110" s="4"/>
      <c r="P110" s="4"/>
      <c r="Q110" s="4"/>
      <c r="R110" s="4">
        <v>3</v>
      </c>
      <c r="S110" s="41"/>
      <c r="T110" s="41" t="s">
        <v>2526</v>
      </c>
      <c r="U110" s="75"/>
      <c r="V110" s="42" t="s">
        <v>861</v>
      </c>
      <c r="W110" s="20">
        <v>6</v>
      </c>
      <c r="X110" s="20">
        <v>15</v>
      </c>
    </row>
    <row r="111" spans="1:24" ht="45">
      <c r="A111" s="135" t="s">
        <v>1337</v>
      </c>
      <c r="B111" s="81" t="s">
        <v>1290</v>
      </c>
      <c r="C111" s="4">
        <v>1</v>
      </c>
      <c r="D111" s="4">
        <v>35</v>
      </c>
      <c r="E111" s="4">
        <v>50</v>
      </c>
      <c r="F111" s="138">
        <v>0.3</v>
      </c>
      <c r="G111" s="138">
        <v>0.45</v>
      </c>
      <c r="H111" s="4">
        <v>-4</v>
      </c>
      <c r="I111" s="4">
        <v>56</v>
      </c>
      <c r="J111" s="4">
        <v>1550</v>
      </c>
      <c r="K111" s="4">
        <v>-25</v>
      </c>
      <c r="L111" s="4"/>
      <c r="M111" s="4"/>
      <c r="N111" s="4"/>
      <c r="O111" s="4"/>
      <c r="P111" s="4"/>
      <c r="Q111" s="4"/>
      <c r="R111" s="4">
        <v>4</v>
      </c>
      <c r="S111" s="181" t="s">
        <v>1094</v>
      </c>
      <c r="T111" s="155" t="s">
        <v>2527</v>
      </c>
      <c r="U111" s="75"/>
      <c r="V111" s="42" t="s">
        <v>1286</v>
      </c>
      <c r="W111" s="20">
        <v>4</v>
      </c>
      <c r="X111" s="20">
        <v>30</v>
      </c>
    </row>
    <row r="112" spans="1:24" ht="30">
      <c r="A112" s="135" t="s">
        <v>862</v>
      </c>
      <c r="B112" s="81" t="s">
        <v>1290</v>
      </c>
      <c r="C112" s="4">
        <v>1</v>
      </c>
      <c r="D112" s="4">
        <v>40</v>
      </c>
      <c r="E112" s="4">
        <v>45</v>
      </c>
      <c r="F112" s="138">
        <v>0.7</v>
      </c>
      <c r="G112" s="138">
        <v>0.2</v>
      </c>
      <c r="H112" s="4">
        <v>-6</v>
      </c>
      <c r="I112" s="4">
        <v>48</v>
      </c>
      <c r="J112" s="4">
        <v>1000</v>
      </c>
      <c r="K112" s="4"/>
      <c r="L112" s="4"/>
      <c r="M112" s="4"/>
      <c r="N112" s="4"/>
      <c r="O112" s="4"/>
      <c r="P112" s="4"/>
      <c r="Q112" s="4"/>
      <c r="R112" s="4">
        <v>4</v>
      </c>
      <c r="S112" s="41"/>
      <c r="T112" s="81" t="s">
        <v>2528</v>
      </c>
      <c r="U112" s="75"/>
      <c r="V112" s="42" t="str">
        <f t="shared" ref="V112:X112" si="3">V124</f>
        <v>puncture</v>
      </c>
      <c r="W112" s="20">
        <f t="shared" si="3"/>
        <v>4</v>
      </c>
      <c r="X112" s="20">
        <f t="shared" si="3"/>
        <v>20</v>
      </c>
    </row>
    <row r="113" spans="1:24" ht="45">
      <c r="A113" s="135" t="s">
        <v>1338</v>
      </c>
      <c r="B113" s="81" t="s">
        <v>1290</v>
      </c>
      <c r="C113" s="4">
        <v>1</v>
      </c>
      <c r="D113" s="4">
        <v>40</v>
      </c>
      <c r="E113" s="4">
        <v>45</v>
      </c>
      <c r="F113" s="138">
        <v>0.8</v>
      </c>
      <c r="G113" s="138">
        <v>0.2</v>
      </c>
      <c r="H113" s="4">
        <v>-6</v>
      </c>
      <c r="I113" s="4">
        <v>56</v>
      </c>
      <c r="J113" s="4">
        <v>1250</v>
      </c>
      <c r="K113" s="4"/>
      <c r="L113" s="4"/>
      <c r="M113" s="4"/>
      <c r="N113" s="4"/>
      <c r="O113" s="4"/>
      <c r="P113" s="4"/>
      <c r="Q113" s="4"/>
      <c r="R113" s="4">
        <v>4</v>
      </c>
      <c r="S113" s="41"/>
      <c r="T113" s="81" t="s">
        <v>2529</v>
      </c>
      <c r="U113" s="75"/>
      <c r="V113" s="42" t="s">
        <v>863</v>
      </c>
      <c r="W113" s="20">
        <v>4</v>
      </c>
      <c r="X113" s="20">
        <v>5</v>
      </c>
    </row>
    <row r="114" spans="1:24" ht="30">
      <c r="A114" s="135" t="s">
        <v>864</v>
      </c>
      <c r="B114" s="81" t="s">
        <v>1290</v>
      </c>
      <c r="C114" s="4">
        <v>1</v>
      </c>
      <c r="D114" s="4">
        <v>45</v>
      </c>
      <c r="E114" s="4">
        <v>50</v>
      </c>
      <c r="F114" s="138">
        <v>0.75</v>
      </c>
      <c r="G114" s="138">
        <v>0.2</v>
      </c>
      <c r="H114" s="4">
        <v>-8</v>
      </c>
      <c r="I114" s="4">
        <v>72</v>
      </c>
      <c r="J114" s="4">
        <v>2900</v>
      </c>
      <c r="K114" s="4"/>
      <c r="L114" s="4"/>
      <c r="M114" s="4"/>
      <c r="N114" s="4"/>
      <c r="O114" s="4"/>
      <c r="P114" s="4"/>
      <c r="Q114" s="4"/>
      <c r="R114" s="20">
        <v>4</v>
      </c>
      <c r="S114" s="177" t="s">
        <v>1095</v>
      </c>
      <c r="T114" s="81" t="s">
        <v>2530</v>
      </c>
      <c r="U114" s="75"/>
      <c r="V114" s="42"/>
      <c r="W114" s="20"/>
      <c r="X114" s="20"/>
    </row>
    <row r="115" spans="1:24" ht="30">
      <c r="A115" s="135" t="s">
        <v>1339</v>
      </c>
      <c r="B115" s="81" t="s">
        <v>1290</v>
      </c>
      <c r="C115" s="4">
        <v>1</v>
      </c>
      <c r="D115" s="4">
        <v>45</v>
      </c>
      <c r="E115" s="4">
        <v>50</v>
      </c>
      <c r="F115" s="138">
        <v>0.85</v>
      </c>
      <c r="G115" s="138">
        <v>0.2</v>
      </c>
      <c r="H115" s="4">
        <v>-8</v>
      </c>
      <c r="I115" s="4">
        <v>72</v>
      </c>
      <c r="J115" s="4">
        <v>3200</v>
      </c>
      <c r="K115" s="4"/>
      <c r="L115" s="4"/>
      <c r="M115" s="4"/>
      <c r="N115" s="4"/>
      <c r="O115" s="4"/>
      <c r="P115" s="4"/>
      <c r="Q115" s="4"/>
      <c r="R115" s="4">
        <v>4</v>
      </c>
      <c r="S115" s="41"/>
      <c r="T115" s="81" t="s">
        <v>2531</v>
      </c>
      <c r="U115" s="75"/>
      <c r="V115" s="42" t="s">
        <v>1340</v>
      </c>
      <c r="W115" s="20">
        <v>4</v>
      </c>
      <c r="X115" s="20">
        <v>10</v>
      </c>
    </row>
    <row r="116" spans="1:24" ht="45">
      <c r="A116" s="135" t="s">
        <v>865</v>
      </c>
      <c r="B116" s="81" t="s">
        <v>1290</v>
      </c>
      <c r="C116" s="4">
        <v>2</v>
      </c>
      <c r="D116" s="4">
        <v>45</v>
      </c>
      <c r="E116" s="4">
        <v>65</v>
      </c>
      <c r="F116" s="138">
        <v>1.05</v>
      </c>
      <c r="G116" s="138">
        <v>0.2</v>
      </c>
      <c r="H116" s="4">
        <v>-10</v>
      </c>
      <c r="I116" s="4">
        <v>42</v>
      </c>
      <c r="J116" s="4">
        <v>1300</v>
      </c>
      <c r="K116" s="4"/>
      <c r="L116" s="4"/>
      <c r="M116" s="4"/>
      <c r="N116" s="4"/>
      <c r="O116" s="4"/>
      <c r="P116" s="4"/>
      <c r="Q116" s="4"/>
      <c r="R116" s="20">
        <v>6</v>
      </c>
      <c r="S116" s="81"/>
      <c r="T116" s="81" t="s">
        <v>2532</v>
      </c>
      <c r="U116" s="75"/>
      <c r="V116" s="42" t="s">
        <v>866</v>
      </c>
      <c r="W116" s="20">
        <v>4</v>
      </c>
      <c r="X116" s="20">
        <v>10</v>
      </c>
    </row>
    <row r="117" spans="1:24" ht="45">
      <c r="A117" s="135" t="s">
        <v>867</v>
      </c>
      <c r="B117" s="81" t="s">
        <v>1290</v>
      </c>
      <c r="C117" s="4">
        <v>2</v>
      </c>
      <c r="D117" s="4">
        <v>50</v>
      </c>
      <c r="E117" s="4">
        <v>75</v>
      </c>
      <c r="F117" s="138">
        <v>0.75</v>
      </c>
      <c r="G117" s="138">
        <v>0.2</v>
      </c>
      <c r="H117" s="4">
        <v>-10</v>
      </c>
      <c r="I117" s="4">
        <v>64</v>
      </c>
      <c r="J117" s="4">
        <v>1600</v>
      </c>
      <c r="K117" s="4"/>
      <c r="L117" s="4"/>
      <c r="M117" s="4"/>
      <c r="N117" s="4"/>
      <c r="O117" s="4"/>
      <c r="P117" s="4"/>
      <c r="Q117" s="4"/>
      <c r="R117" s="20">
        <v>6</v>
      </c>
      <c r="S117" s="81"/>
      <c r="T117" s="81" t="s">
        <v>2532</v>
      </c>
      <c r="U117" s="75"/>
      <c r="V117" s="42" t="s">
        <v>796</v>
      </c>
      <c r="W117" s="20">
        <v>4</v>
      </c>
      <c r="X117" s="20">
        <v>20</v>
      </c>
    </row>
    <row r="118" spans="1:24" ht="45">
      <c r="A118" s="74" t="s">
        <v>1341</v>
      </c>
      <c r="B118" s="81" t="s">
        <v>1290</v>
      </c>
      <c r="C118" s="4">
        <v>2</v>
      </c>
      <c r="D118" s="4">
        <v>65</v>
      </c>
      <c r="E118" s="4">
        <v>75</v>
      </c>
      <c r="F118" s="138">
        <v>0.8</v>
      </c>
      <c r="G118" s="138">
        <v>0.3</v>
      </c>
      <c r="H118" s="4">
        <v>-8</v>
      </c>
      <c r="I118" s="4">
        <v>60</v>
      </c>
      <c r="J118" s="4">
        <v>2400</v>
      </c>
      <c r="K118" s="4">
        <v>10</v>
      </c>
      <c r="L118" s="4"/>
      <c r="M118" s="4"/>
      <c r="N118" s="4"/>
      <c r="O118" s="4"/>
      <c r="P118" s="4"/>
      <c r="Q118" s="4"/>
      <c r="R118" s="4">
        <v>5</v>
      </c>
      <c r="S118" s="41"/>
      <c r="T118" s="41" t="s">
        <v>2533</v>
      </c>
      <c r="U118" s="75"/>
      <c r="V118" s="42" t="s">
        <v>868</v>
      </c>
      <c r="W118" s="20">
        <v>4</v>
      </c>
      <c r="X118" s="20">
        <v>25</v>
      </c>
    </row>
    <row r="119" spans="1:24" ht="30">
      <c r="A119" s="74" t="s">
        <v>1342</v>
      </c>
      <c r="B119" s="81" t="s">
        <v>1290</v>
      </c>
      <c r="C119" s="4">
        <v>1</v>
      </c>
      <c r="D119" s="4">
        <v>50</v>
      </c>
      <c r="E119" s="4">
        <v>55</v>
      </c>
      <c r="F119" s="138">
        <v>0.9</v>
      </c>
      <c r="G119" s="138">
        <v>0.2</v>
      </c>
      <c r="H119" s="4">
        <v>-8</v>
      </c>
      <c r="I119" s="4">
        <v>90</v>
      </c>
      <c r="J119" s="4">
        <v>20000</v>
      </c>
      <c r="K119" s="4"/>
      <c r="L119" s="4"/>
      <c r="M119" s="4"/>
      <c r="N119" s="4"/>
      <c r="O119" s="4"/>
      <c r="P119" s="4"/>
      <c r="Q119" s="4"/>
      <c r="R119" s="4">
        <v>4</v>
      </c>
      <c r="S119" s="81"/>
      <c r="T119" s="81" t="s">
        <v>2485</v>
      </c>
      <c r="U119" s="75"/>
      <c r="V119" s="42" t="s">
        <v>869</v>
      </c>
      <c r="W119" s="20">
        <v>6</v>
      </c>
      <c r="X119" s="20">
        <v>15</v>
      </c>
    </row>
    <row r="120" spans="1:24" ht="45">
      <c r="A120" s="74" t="s">
        <v>870</v>
      </c>
      <c r="B120" s="81" t="s">
        <v>1290</v>
      </c>
      <c r="C120" s="4">
        <v>2</v>
      </c>
      <c r="D120" s="4">
        <v>55</v>
      </c>
      <c r="E120" s="4">
        <v>70</v>
      </c>
      <c r="F120" s="138">
        <v>0.3</v>
      </c>
      <c r="G120" s="138">
        <v>0.6</v>
      </c>
      <c r="H120" s="4">
        <v>-10</v>
      </c>
      <c r="I120" s="4">
        <v>56</v>
      </c>
      <c r="J120" s="4">
        <v>2400</v>
      </c>
      <c r="K120" s="4">
        <v>-25</v>
      </c>
      <c r="L120" s="4"/>
      <c r="M120" s="4"/>
      <c r="N120" s="4"/>
      <c r="O120" s="4"/>
      <c r="P120" s="4"/>
      <c r="Q120" s="4"/>
      <c r="R120" s="4">
        <v>5</v>
      </c>
      <c r="S120" s="81"/>
      <c r="T120" s="81" t="s">
        <v>2534</v>
      </c>
      <c r="U120" s="75"/>
      <c r="V120" s="42" t="s">
        <v>871</v>
      </c>
      <c r="W120" s="20">
        <v>6</v>
      </c>
      <c r="X120" s="20">
        <v>30</v>
      </c>
    </row>
    <row r="121" spans="1:24" ht="60">
      <c r="A121" s="74" t="s">
        <v>1343</v>
      </c>
      <c r="B121" s="81" t="s">
        <v>1290</v>
      </c>
      <c r="C121" s="4">
        <v>2</v>
      </c>
      <c r="D121" s="4">
        <v>65</v>
      </c>
      <c r="E121" s="4">
        <v>85</v>
      </c>
      <c r="F121" s="138">
        <v>1</v>
      </c>
      <c r="G121" s="138">
        <v>0.25</v>
      </c>
      <c r="H121" s="4">
        <v>-10</v>
      </c>
      <c r="I121" s="4">
        <v>60</v>
      </c>
      <c r="J121" s="4">
        <v>2400</v>
      </c>
      <c r="K121" s="4">
        <v>10</v>
      </c>
      <c r="L121" s="4">
        <v>18</v>
      </c>
      <c r="M121" s="4"/>
      <c r="N121" s="4"/>
      <c r="O121" s="4"/>
      <c r="P121" s="4"/>
      <c r="Q121" s="4"/>
      <c r="R121" s="4">
        <v>6</v>
      </c>
      <c r="S121" s="81"/>
      <c r="T121" s="81" t="s">
        <v>2457</v>
      </c>
      <c r="U121" s="75"/>
      <c r="V121" s="42" t="s">
        <v>872</v>
      </c>
      <c r="W121" s="20">
        <v>6</v>
      </c>
      <c r="X121" s="20">
        <v>30</v>
      </c>
    </row>
    <row r="122" spans="1:24" ht="60">
      <c r="A122" s="135" t="s">
        <v>1344</v>
      </c>
      <c r="B122" s="81" t="s">
        <v>1290</v>
      </c>
      <c r="C122" s="4">
        <v>2</v>
      </c>
      <c r="D122" s="4">
        <v>85</v>
      </c>
      <c r="E122" s="4">
        <v>100</v>
      </c>
      <c r="F122" s="138">
        <v>1</v>
      </c>
      <c r="G122" s="138">
        <v>0.25</v>
      </c>
      <c r="H122" s="4">
        <v>-12</v>
      </c>
      <c r="I122" s="4">
        <v>72</v>
      </c>
      <c r="J122" s="4">
        <v>3200</v>
      </c>
      <c r="K122" s="4">
        <v>5</v>
      </c>
      <c r="L122" s="4">
        <v>24</v>
      </c>
      <c r="M122" s="4"/>
      <c r="N122" s="4"/>
      <c r="O122" s="4"/>
      <c r="P122" s="4"/>
      <c r="Q122" s="4"/>
      <c r="R122" s="4">
        <v>7</v>
      </c>
      <c r="S122" s="81"/>
      <c r="T122" s="81" t="s">
        <v>2535</v>
      </c>
      <c r="U122" s="75"/>
      <c r="V122" s="42" t="s">
        <v>873</v>
      </c>
      <c r="W122" s="20">
        <v>4</v>
      </c>
      <c r="X122" s="20">
        <v>25</v>
      </c>
    </row>
    <row r="123" spans="1:24" ht="15">
      <c r="A123" s="135" t="s">
        <v>1345</v>
      </c>
      <c r="B123" s="81"/>
      <c r="C123" s="4"/>
      <c r="D123" s="4"/>
      <c r="E123" s="4"/>
      <c r="F123" s="138"/>
      <c r="G123" s="138"/>
      <c r="H123" s="4"/>
      <c r="I123" s="4"/>
      <c r="J123" s="4"/>
      <c r="K123" s="4"/>
      <c r="L123" s="4"/>
      <c r="M123" s="4"/>
      <c r="N123" s="4"/>
      <c r="O123" s="4"/>
      <c r="P123" s="4"/>
      <c r="Q123" s="4"/>
      <c r="R123" s="4"/>
      <c r="S123" s="81"/>
      <c r="T123" s="81"/>
      <c r="U123" s="75"/>
      <c r="V123" s="42">
        <f t="shared" ref="V123:X123" si="4">V23</f>
        <v>0</v>
      </c>
      <c r="W123" s="20">
        <f t="shared" si="4"/>
        <v>0</v>
      </c>
      <c r="X123" s="20">
        <f t="shared" si="4"/>
        <v>0</v>
      </c>
    </row>
    <row r="124" spans="1:24" ht="15">
      <c r="A124" s="135" t="s">
        <v>1346</v>
      </c>
      <c r="B124" s="81"/>
      <c r="C124" s="4"/>
      <c r="D124" s="4"/>
      <c r="E124" s="4"/>
      <c r="F124" s="138"/>
      <c r="G124" s="138"/>
      <c r="H124" s="4"/>
      <c r="I124" s="4"/>
      <c r="J124" s="4"/>
      <c r="K124" s="4"/>
      <c r="L124" s="4"/>
      <c r="M124" s="4"/>
      <c r="N124" s="4"/>
      <c r="O124" s="4"/>
      <c r="P124" s="4"/>
      <c r="Q124" s="4"/>
      <c r="R124" s="4"/>
      <c r="S124" s="81"/>
      <c r="T124" s="81"/>
      <c r="U124" s="75"/>
      <c r="V124" s="42" t="s">
        <v>810</v>
      </c>
      <c r="W124" s="20">
        <v>4</v>
      </c>
      <c r="X124" s="20">
        <v>20</v>
      </c>
    </row>
    <row r="125" spans="1:24" ht="30">
      <c r="A125" s="135" t="s">
        <v>874</v>
      </c>
      <c r="B125" s="81" t="s">
        <v>1347</v>
      </c>
      <c r="C125" s="4">
        <v>1</v>
      </c>
      <c r="D125" s="4">
        <v>20</v>
      </c>
      <c r="E125" s="4">
        <v>30</v>
      </c>
      <c r="F125" s="138">
        <v>0.6</v>
      </c>
      <c r="G125" s="138">
        <v>0.2</v>
      </c>
      <c r="H125" s="4">
        <v>-3</v>
      </c>
      <c r="I125" s="4">
        <v>44</v>
      </c>
      <c r="J125" s="4">
        <v>350</v>
      </c>
      <c r="K125" s="4"/>
      <c r="L125" s="4"/>
      <c r="M125" s="4"/>
      <c r="N125" s="4"/>
      <c r="O125" s="4"/>
      <c r="P125" s="4"/>
      <c r="Q125" s="4"/>
      <c r="R125" s="4">
        <v>3</v>
      </c>
      <c r="S125" s="81"/>
      <c r="T125" s="81" t="s">
        <v>2536</v>
      </c>
      <c r="U125" s="75"/>
      <c r="V125" s="42"/>
      <c r="W125" s="20"/>
      <c r="X125" s="20"/>
    </row>
    <row r="126" spans="1:24" ht="30">
      <c r="A126" s="74" t="s">
        <v>1348</v>
      </c>
      <c r="B126" s="81" t="s">
        <v>1349</v>
      </c>
      <c r="C126" s="4">
        <v>1</v>
      </c>
      <c r="D126" s="4">
        <v>38</v>
      </c>
      <c r="E126" s="4">
        <v>43</v>
      </c>
      <c r="F126" s="138">
        <v>0.8</v>
      </c>
      <c r="G126" s="138">
        <v>0.2</v>
      </c>
      <c r="H126" s="4">
        <v>-6</v>
      </c>
      <c r="I126" s="4">
        <v>42</v>
      </c>
      <c r="J126" s="4">
        <v>850</v>
      </c>
      <c r="K126" s="4"/>
      <c r="L126" s="4"/>
      <c r="M126" s="4"/>
      <c r="N126" s="4"/>
      <c r="O126" s="4"/>
      <c r="P126" s="4"/>
      <c r="Q126" s="4"/>
      <c r="R126" s="4">
        <v>3</v>
      </c>
      <c r="S126" s="81"/>
      <c r="T126" s="81" t="s">
        <v>2537</v>
      </c>
      <c r="U126" s="75"/>
      <c r="V126" s="42"/>
      <c r="W126" s="20"/>
      <c r="X126" s="20"/>
    </row>
    <row r="127" spans="1:24" ht="45">
      <c r="A127" s="74" t="s">
        <v>1350</v>
      </c>
      <c r="B127" s="81" t="s">
        <v>1351</v>
      </c>
      <c r="C127" s="4">
        <v>2</v>
      </c>
      <c r="D127" s="4">
        <v>55</v>
      </c>
      <c r="E127" s="4">
        <v>80</v>
      </c>
      <c r="F127" s="138">
        <v>1</v>
      </c>
      <c r="G127" s="138">
        <v>0.25</v>
      </c>
      <c r="H127" s="4">
        <v>-16</v>
      </c>
      <c r="I127" s="4">
        <v>72</v>
      </c>
      <c r="J127" s="4">
        <v>2400</v>
      </c>
      <c r="K127" s="4"/>
      <c r="L127" s="4"/>
      <c r="M127" s="4"/>
      <c r="N127" s="4"/>
      <c r="O127" s="4"/>
      <c r="P127" s="4"/>
      <c r="Q127" s="4"/>
      <c r="R127" s="4">
        <v>6</v>
      </c>
      <c r="S127" s="81"/>
      <c r="T127" s="81" t="s">
        <v>2538</v>
      </c>
      <c r="U127" s="75"/>
      <c r="V127" s="42"/>
      <c r="W127" s="20"/>
      <c r="X127" s="20"/>
    </row>
    <row r="128" spans="1:24" ht="30">
      <c r="A128" s="135" t="s">
        <v>875</v>
      </c>
      <c r="B128" s="81" t="s">
        <v>1355</v>
      </c>
      <c r="C128" s="4">
        <v>1</v>
      </c>
      <c r="D128" s="4">
        <v>20</v>
      </c>
      <c r="E128" s="4">
        <v>35</v>
      </c>
      <c r="F128" s="138">
        <v>0.7</v>
      </c>
      <c r="G128" s="138">
        <v>0.4</v>
      </c>
      <c r="H128" s="4">
        <v>-3</v>
      </c>
      <c r="I128" s="4"/>
      <c r="J128" s="4">
        <v>200</v>
      </c>
      <c r="K128" s="4"/>
      <c r="L128" s="4">
        <v>2</v>
      </c>
      <c r="M128" s="4">
        <v>2</v>
      </c>
      <c r="N128" s="4">
        <v>4</v>
      </c>
      <c r="O128" s="4">
        <v>4</v>
      </c>
      <c r="P128" s="4"/>
      <c r="Q128" s="4"/>
      <c r="R128" s="4">
        <v>0</v>
      </c>
      <c r="S128" s="81"/>
      <c r="T128" s="81" t="s">
        <v>2539</v>
      </c>
      <c r="U128" s="75"/>
      <c r="V128" s="42" t="s">
        <v>876</v>
      </c>
      <c r="W128" s="20">
        <v>4</v>
      </c>
      <c r="X128" s="20">
        <v>15</v>
      </c>
    </row>
    <row r="129" spans="1:24" ht="15">
      <c r="A129" s="135" t="s">
        <v>1385</v>
      </c>
      <c r="B129" s="81" t="s">
        <v>1355</v>
      </c>
      <c r="C129" s="4">
        <v>1</v>
      </c>
      <c r="D129" s="4">
        <v>25</v>
      </c>
      <c r="E129" s="4">
        <v>40</v>
      </c>
      <c r="F129" s="138">
        <v>1.1000000000000001</v>
      </c>
      <c r="G129" s="138">
        <v>0.25</v>
      </c>
      <c r="H129" s="4">
        <v>-4</v>
      </c>
      <c r="I129" s="4"/>
      <c r="J129" s="4">
        <v>200</v>
      </c>
      <c r="K129" s="4"/>
      <c r="L129" s="4">
        <v>10</v>
      </c>
      <c r="M129" s="4">
        <v>2</v>
      </c>
      <c r="N129" s="4">
        <v>4</v>
      </c>
      <c r="O129" s="4">
        <v>4</v>
      </c>
      <c r="P129" s="4"/>
      <c r="Q129" s="4"/>
      <c r="R129" s="4">
        <v>0</v>
      </c>
      <c r="S129" s="81"/>
      <c r="T129" s="81" t="s">
        <v>2540</v>
      </c>
      <c r="U129" s="75"/>
      <c r="V129" s="42" t="s">
        <v>1150</v>
      </c>
      <c r="W129" s="20">
        <v>4</v>
      </c>
      <c r="X129" s="20">
        <v>10</v>
      </c>
    </row>
    <row r="130" spans="1:24" ht="15">
      <c r="A130" s="135" t="s">
        <v>877</v>
      </c>
      <c r="B130" s="81" t="s">
        <v>1355</v>
      </c>
      <c r="C130" s="4">
        <v>1</v>
      </c>
      <c r="D130" s="4">
        <v>25</v>
      </c>
      <c r="E130" s="4">
        <v>40</v>
      </c>
      <c r="F130" s="138">
        <v>0.5</v>
      </c>
      <c r="G130" s="138">
        <v>0.35</v>
      </c>
      <c r="H130" s="4">
        <v>-4</v>
      </c>
      <c r="I130" s="4">
        <v>50</v>
      </c>
      <c r="J130" s="4">
        <v>150</v>
      </c>
      <c r="K130" s="4"/>
      <c r="L130" s="4"/>
      <c r="M130" s="4">
        <v>2</v>
      </c>
      <c r="N130" s="4">
        <v>6</v>
      </c>
      <c r="O130" s="4">
        <v>6</v>
      </c>
      <c r="P130" s="4"/>
      <c r="Q130" s="4"/>
      <c r="R130" s="4">
        <v>0</v>
      </c>
      <c r="S130" s="81"/>
      <c r="T130" s="81" t="s">
        <v>2541</v>
      </c>
      <c r="U130" s="75"/>
      <c r="V130" s="42" t="s">
        <v>878</v>
      </c>
      <c r="W130" s="20">
        <v>4</v>
      </c>
      <c r="X130" s="20">
        <v>12</v>
      </c>
    </row>
    <row r="131" spans="1:24" ht="30">
      <c r="A131" s="135" t="s">
        <v>879</v>
      </c>
      <c r="B131" s="81" t="s">
        <v>1355</v>
      </c>
      <c r="C131" s="4">
        <v>1</v>
      </c>
      <c r="D131" s="4">
        <v>30</v>
      </c>
      <c r="E131" s="4">
        <v>40</v>
      </c>
      <c r="F131" s="138">
        <v>0.7</v>
      </c>
      <c r="G131" s="138">
        <v>0.45</v>
      </c>
      <c r="H131" s="4">
        <v>-8</v>
      </c>
      <c r="I131" s="4"/>
      <c r="J131" s="4">
        <v>150</v>
      </c>
      <c r="K131" s="4"/>
      <c r="L131" s="4"/>
      <c r="M131" s="4">
        <v>1</v>
      </c>
      <c r="N131" s="4">
        <v>4</v>
      </c>
      <c r="O131" s="4">
        <v>4</v>
      </c>
      <c r="P131" s="4"/>
      <c r="Q131" s="4"/>
      <c r="R131" s="4">
        <v>0</v>
      </c>
      <c r="S131" s="81"/>
      <c r="T131" s="81" t="s">
        <v>2542</v>
      </c>
      <c r="U131" s="75"/>
      <c r="V131" s="42" t="s">
        <v>880</v>
      </c>
      <c r="W131" s="20">
        <v>4</v>
      </c>
      <c r="X131" s="20">
        <v>14</v>
      </c>
    </row>
    <row r="132" spans="1:24" ht="15">
      <c r="A132" s="135" t="s">
        <v>881</v>
      </c>
      <c r="B132" s="81" t="s">
        <v>1355</v>
      </c>
      <c r="C132" s="4">
        <v>1</v>
      </c>
      <c r="D132" s="4">
        <v>30</v>
      </c>
      <c r="E132" s="4">
        <v>45</v>
      </c>
      <c r="F132" s="138">
        <v>0.75</v>
      </c>
      <c r="G132" s="138">
        <v>0.45</v>
      </c>
      <c r="H132" s="4">
        <v>-6</v>
      </c>
      <c r="I132" s="4"/>
      <c r="J132" s="4">
        <v>200</v>
      </c>
      <c r="K132" s="4"/>
      <c r="L132" s="4">
        <v>8</v>
      </c>
      <c r="M132" s="4">
        <v>1</v>
      </c>
      <c r="N132" s="4">
        <v>4</v>
      </c>
      <c r="O132" s="4">
        <v>4</v>
      </c>
      <c r="P132" s="4"/>
      <c r="Q132" s="4"/>
      <c r="R132" s="4">
        <v>0</v>
      </c>
      <c r="S132" s="81"/>
      <c r="T132" s="81" t="s">
        <v>2543</v>
      </c>
      <c r="U132" s="75"/>
      <c r="V132" s="42" t="s">
        <v>1287</v>
      </c>
      <c r="W132" s="20">
        <v>4</v>
      </c>
      <c r="X132" s="20">
        <v>15</v>
      </c>
    </row>
    <row r="133" spans="1:24" ht="15">
      <c r="A133" s="135" t="s">
        <v>1386</v>
      </c>
      <c r="B133" s="81" t="s">
        <v>1355</v>
      </c>
      <c r="C133" s="4">
        <v>1</v>
      </c>
      <c r="D133" s="4">
        <v>30</v>
      </c>
      <c r="E133" s="4">
        <v>50</v>
      </c>
      <c r="F133" s="138">
        <v>1.1499999999999999</v>
      </c>
      <c r="G133" s="138">
        <v>0.25</v>
      </c>
      <c r="H133" s="4">
        <v>-6</v>
      </c>
      <c r="I133" s="4"/>
      <c r="J133" s="4">
        <v>300</v>
      </c>
      <c r="K133" s="4"/>
      <c r="L133" s="4"/>
      <c r="M133" s="4">
        <v>2</v>
      </c>
      <c r="N133" s="4">
        <v>4</v>
      </c>
      <c r="O133" s="4">
        <v>4</v>
      </c>
      <c r="P133" s="4"/>
      <c r="Q133" s="20"/>
      <c r="R133" s="4">
        <v>0</v>
      </c>
      <c r="S133" s="81"/>
      <c r="T133" s="81" t="s">
        <v>2544</v>
      </c>
      <c r="U133" s="75"/>
      <c r="V133" s="42"/>
      <c r="W133" s="20"/>
      <c r="X133" s="20"/>
    </row>
    <row r="134" spans="1:24" ht="15">
      <c r="A134" s="135" t="s">
        <v>882</v>
      </c>
      <c r="B134" s="81" t="s">
        <v>1355</v>
      </c>
      <c r="C134" s="4">
        <v>1</v>
      </c>
      <c r="D134" s="4">
        <v>35</v>
      </c>
      <c r="E134" s="4">
        <v>50</v>
      </c>
      <c r="F134" s="138">
        <v>0.8</v>
      </c>
      <c r="G134" s="138">
        <v>0.45</v>
      </c>
      <c r="H134" s="4">
        <v>-8</v>
      </c>
      <c r="I134" s="4"/>
      <c r="J134" s="4">
        <v>300</v>
      </c>
      <c r="K134" s="4"/>
      <c r="L134" s="4"/>
      <c r="M134" s="4">
        <v>1</v>
      </c>
      <c r="N134" s="4">
        <v>4</v>
      </c>
      <c r="O134" s="4">
        <v>4</v>
      </c>
      <c r="P134" s="4"/>
      <c r="Q134" s="20"/>
      <c r="R134" s="4">
        <v>0</v>
      </c>
      <c r="S134" s="81"/>
      <c r="T134" s="81" t="s">
        <v>2542</v>
      </c>
      <c r="U134" s="75"/>
      <c r="V134" s="42"/>
      <c r="W134" s="20"/>
      <c r="X134" s="20"/>
    </row>
    <row r="135" spans="1:24" ht="15">
      <c r="A135" s="135" t="s">
        <v>883</v>
      </c>
      <c r="B135" s="81" t="s">
        <v>1355</v>
      </c>
      <c r="C135" s="4">
        <v>1</v>
      </c>
      <c r="D135" s="4">
        <v>35</v>
      </c>
      <c r="E135" s="4">
        <v>50</v>
      </c>
      <c r="F135" s="138">
        <v>0.6</v>
      </c>
      <c r="G135" s="138">
        <v>0.35</v>
      </c>
      <c r="H135" s="4">
        <v>-6</v>
      </c>
      <c r="I135" s="4">
        <v>56</v>
      </c>
      <c r="J135" s="4">
        <v>300</v>
      </c>
      <c r="K135" s="4"/>
      <c r="L135" s="4"/>
      <c r="M135" s="4">
        <v>2</v>
      </c>
      <c r="N135" s="4">
        <v>6</v>
      </c>
      <c r="O135" s="4">
        <v>6</v>
      </c>
      <c r="P135" s="4"/>
      <c r="Q135" s="4"/>
      <c r="R135" s="4">
        <v>0</v>
      </c>
      <c r="S135" s="81"/>
      <c r="T135" s="81" t="s">
        <v>2545</v>
      </c>
      <c r="U135" s="75"/>
      <c r="V135" s="42"/>
      <c r="W135" s="20"/>
      <c r="X135" s="20"/>
    </row>
    <row r="136" spans="1:24" ht="27">
      <c r="A136" s="135" t="s">
        <v>1387</v>
      </c>
      <c r="B136" s="81" t="s">
        <v>1355</v>
      </c>
      <c r="C136" s="4">
        <v>1</v>
      </c>
      <c r="D136" s="4">
        <v>45</v>
      </c>
      <c r="E136" s="4">
        <v>70</v>
      </c>
      <c r="F136" s="138">
        <v>1.1000000000000001</v>
      </c>
      <c r="G136" s="138">
        <v>0.45</v>
      </c>
      <c r="H136" s="4">
        <v>-6</v>
      </c>
      <c r="I136" s="4"/>
      <c r="J136" s="4">
        <v>80</v>
      </c>
      <c r="K136" s="4"/>
      <c r="L136" s="266" t="s">
        <v>2546</v>
      </c>
      <c r="M136" s="4">
        <v>2</v>
      </c>
      <c r="N136" s="4">
        <v>4</v>
      </c>
      <c r="O136" s="4">
        <v>4</v>
      </c>
      <c r="P136" s="4"/>
      <c r="Q136" s="4"/>
      <c r="R136" s="4">
        <v>0</v>
      </c>
      <c r="S136" s="81"/>
      <c r="T136" s="81" t="s">
        <v>2485</v>
      </c>
      <c r="U136" s="75"/>
      <c r="V136" s="156"/>
      <c r="W136" s="156"/>
      <c r="X136" s="156"/>
    </row>
  </sheetData>
  <phoneticPr fontId="26" type="noConversion"/>
  <conditionalFormatting sqref="D1">
    <cfRule type="colorScale" priority="1">
      <colorScale>
        <cfvo type="min"/>
        <cfvo type="percentile" val="50"/>
        <cfvo type="max"/>
        <color rgb="FFE67C73"/>
        <color rgb="FFFFFFFF"/>
        <color rgb="FF57BB8A"/>
      </colorScale>
    </cfRule>
  </conditionalFormatting>
  <conditionalFormatting sqref="D2:D866">
    <cfRule type="colorScale" priority="8">
      <colorScale>
        <cfvo type="min"/>
        <cfvo type="percentile" val="50"/>
        <cfvo type="max"/>
        <color rgb="FFE67C73"/>
        <color rgb="FFFFFFFF"/>
        <color rgb="FF57BB8A"/>
      </colorScale>
    </cfRule>
  </conditionalFormatting>
  <conditionalFormatting sqref="E1">
    <cfRule type="colorScale" priority="2">
      <colorScale>
        <cfvo type="min"/>
        <cfvo type="percentile" val="50"/>
        <cfvo type="max"/>
        <color rgb="FFE67C73"/>
        <color rgb="FFFFFFFF"/>
        <color rgb="FF57BB8A"/>
      </colorScale>
    </cfRule>
  </conditionalFormatting>
  <conditionalFormatting sqref="E2:E866">
    <cfRule type="colorScale" priority="9">
      <colorScale>
        <cfvo type="min"/>
        <cfvo type="percentile" val="50"/>
        <cfvo type="max"/>
        <color rgb="FFE67C73"/>
        <color rgb="FFFFFFFF"/>
        <color rgb="FF57BB8A"/>
      </colorScale>
    </cfRule>
  </conditionalFormatting>
  <conditionalFormatting sqref="F1">
    <cfRule type="colorScale" priority="3">
      <colorScale>
        <cfvo type="min"/>
        <cfvo type="percentile" val="50"/>
        <cfvo type="max"/>
        <color rgb="FFE67C73"/>
        <color rgb="FFFFFFFF"/>
        <color rgb="FF57BB8A"/>
      </colorScale>
    </cfRule>
  </conditionalFormatting>
  <conditionalFormatting sqref="F2:F866">
    <cfRule type="colorScale" priority="10">
      <colorScale>
        <cfvo type="min"/>
        <cfvo type="percentile" val="50"/>
        <cfvo type="max"/>
        <color rgb="FFE67C73"/>
        <color rgb="FFFFFFFF"/>
        <color rgb="FF57BB8A"/>
      </colorScale>
    </cfRule>
  </conditionalFormatting>
  <conditionalFormatting sqref="G1">
    <cfRule type="colorScale" priority="4">
      <colorScale>
        <cfvo type="min"/>
        <cfvo type="percentile" val="50"/>
        <cfvo type="max"/>
        <color rgb="FFE67C73"/>
        <color rgb="FFFFFFFF"/>
        <color rgb="FF57BB8A"/>
      </colorScale>
    </cfRule>
  </conditionalFormatting>
  <conditionalFormatting sqref="G2:G866">
    <cfRule type="colorScale" priority="11">
      <colorScale>
        <cfvo type="min"/>
        <cfvo type="percentile" val="50"/>
        <cfvo type="max"/>
        <color rgb="FFE67C73"/>
        <color rgb="FFFFFFFF"/>
        <color rgb="FF57BB8A"/>
      </colorScale>
    </cfRule>
  </conditionalFormatting>
  <conditionalFormatting sqref="H1">
    <cfRule type="colorScale" priority="5">
      <colorScale>
        <cfvo type="min"/>
        <cfvo type="percentile" val="50"/>
        <cfvo type="max"/>
        <color rgb="FFE67C73"/>
        <color rgb="FFFFFFFF"/>
        <color rgb="FF57BB8A"/>
      </colorScale>
    </cfRule>
  </conditionalFormatting>
  <conditionalFormatting sqref="H2:H866">
    <cfRule type="colorScale" priority="12">
      <colorScale>
        <cfvo type="min"/>
        <cfvo type="percentile" val="50"/>
        <cfvo type="max"/>
        <color rgb="FFE67C73"/>
        <color rgb="FFFFFFFF"/>
        <color rgb="FF57BB8A"/>
      </colorScale>
    </cfRule>
  </conditionalFormatting>
  <conditionalFormatting sqref="I1">
    <cfRule type="colorScale" priority="6">
      <colorScale>
        <cfvo type="min"/>
        <cfvo type="percentile" val="50"/>
        <cfvo type="max"/>
        <color rgb="FFE67C73"/>
        <color rgb="FFFFFFFF"/>
        <color rgb="FF57BB8A"/>
      </colorScale>
    </cfRule>
  </conditionalFormatting>
  <conditionalFormatting sqref="I2:I866">
    <cfRule type="colorScale" priority="13">
      <colorScale>
        <cfvo type="min"/>
        <cfvo type="percentile" val="50"/>
        <cfvo type="max"/>
        <color rgb="FFE67C73"/>
        <color rgb="FFFFFFFF"/>
        <color rgb="FF57BB8A"/>
      </colorScale>
    </cfRule>
  </conditionalFormatting>
  <conditionalFormatting sqref="J1">
    <cfRule type="colorScale" priority="7">
      <colorScale>
        <cfvo type="min"/>
        <cfvo type="percentile" val="50"/>
        <cfvo type="max"/>
        <color rgb="FFE67C73"/>
        <color rgb="FFFFFFFF"/>
        <color rgb="FF57BB8A"/>
      </colorScale>
    </cfRule>
  </conditionalFormatting>
  <conditionalFormatting sqref="J2:J866">
    <cfRule type="colorScale" priority="14">
      <colorScale>
        <cfvo type="min"/>
        <cfvo type="percentile" val="50"/>
        <cfvo type="max"/>
        <color rgb="FFE67C73"/>
        <color rgb="FFFFFFFF"/>
        <color rgb="FF57BB8A"/>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79"/>
  <sheetViews>
    <sheetView workbookViewId="0">
      <pane ySplit="1" topLeftCell="A2" activePane="bottomLeft" state="frozen"/>
      <selection pane="bottomLeft" activeCell="A14" sqref="A14"/>
    </sheetView>
  </sheetViews>
  <sheetFormatPr defaultColWidth="12.5703125" defaultRowHeight="15.75" customHeight="1"/>
  <cols>
    <col min="1" max="1" width="24.85546875" customWidth="1"/>
    <col min="6" max="6" width="89.42578125" customWidth="1"/>
  </cols>
  <sheetData>
    <row r="1" spans="1:5" ht="15">
      <c r="A1" s="170" t="s">
        <v>1066</v>
      </c>
      <c r="B1" s="171" t="s">
        <v>1064</v>
      </c>
      <c r="C1" s="171" t="s">
        <v>1067</v>
      </c>
      <c r="D1" s="171" t="s">
        <v>1060</v>
      </c>
      <c r="E1" s="172" t="s">
        <v>1061</v>
      </c>
    </row>
    <row r="2" spans="1:5" ht="15">
      <c r="A2" s="50" t="s">
        <v>884</v>
      </c>
      <c r="B2" s="157">
        <v>0</v>
      </c>
      <c r="C2" s="157">
        <v>5</v>
      </c>
      <c r="D2" s="157"/>
      <c r="E2" s="158">
        <f t="shared" ref="E2:E79" si="0">IFERROR(ABS(ROUND(C:C/D:D,2)),0)</f>
        <v>0</v>
      </c>
    </row>
    <row r="3" spans="1:5" ht="15">
      <c r="A3" s="50" t="s">
        <v>202</v>
      </c>
      <c r="B3" s="157">
        <v>20</v>
      </c>
      <c r="C3" s="157">
        <v>10</v>
      </c>
      <c r="D3" s="157"/>
      <c r="E3" s="158">
        <f t="shared" si="0"/>
        <v>0</v>
      </c>
    </row>
    <row r="4" spans="1:5" ht="15">
      <c r="A4" s="50" t="s">
        <v>179</v>
      </c>
      <c r="B4" s="157">
        <v>45</v>
      </c>
      <c r="C4" s="157">
        <v>20</v>
      </c>
      <c r="D4" s="157"/>
      <c r="E4" s="158">
        <f t="shared" si="0"/>
        <v>0</v>
      </c>
    </row>
    <row r="5" spans="1:5" ht="15">
      <c r="A5" s="50" t="s">
        <v>181</v>
      </c>
      <c r="B5" s="157">
        <v>30</v>
      </c>
      <c r="C5" s="157">
        <v>20</v>
      </c>
      <c r="D5" s="157"/>
      <c r="E5" s="158">
        <f t="shared" si="0"/>
        <v>0</v>
      </c>
    </row>
    <row r="6" spans="1:5" ht="15">
      <c r="A6" s="50" t="s">
        <v>885</v>
      </c>
      <c r="B6" s="157">
        <v>40</v>
      </c>
      <c r="C6" s="157">
        <v>20</v>
      </c>
      <c r="D6" s="157"/>
      <c r="E6" s="158">
        <f t="shared" si="0"/>
        <v>0</v>
      </c>
    </row>
    <row r="7" spans="1:5" ht="15">
      <c r="A7" s="50" t="s">
        <v>886</v>
      </c>
      <c r="B7" s="157">
        <v>45</v>
      </c>
      <c r="C7" s="157">
        <v>20</v>
      </c>
      <c r="D7" s="157"/>
      <c r="E7" s="158">
        <f t="shared" si="0"/>
        <v>0</v>
      </c>
    </row>
    <row r="8" spans="1:5" ht="15">
      <c r="A8" s="50" t="s">
        <v>219</v>
      </c>
      <c r="B8" s="157">
        <v>100</v>
      </c>
      <c r="C8" s="157">
        <v>20</v>
      </c>
      <c r="D8" s="157"/>
      <c r="E8" s="158">
        <f t="shared" si="0"/>
        <v>0</v>
      </c>
    </row>
    <row r="9" spans="1:5" ht="15">
      <c r="A9" s="50" t="s">
        <v>887</v>
      </c>
      <c r="B9" s="157">
        <v>60</v>
      </c>
      <c r="C9" s="157">
        <v>20</v>
      </c>
      <c r="D9" s="157"/>
      <c r="E9" s="158">
        <f t="shared" si="0"/>
        <v>0</v>
      </c>
    </row>
    <row r="10" spans="1:5" ht="15">
      <c r="A10" s="50" t="s">
        <v>116</v>
      </c>
      <c r="B10" s="157">
        <v>55</v>
      </c>
      <c r="C10" s="157">
        <v>25</v>
      </c>
      <c r="D10" s="157"/>
      <c r="E10" s="158">
        <f t="shared" si="0"/>
        <v>0</v>
      </c>
    </row>
    <row r="11" spans="1:5" ht="15">
      <c r="A11" s="50" t="s">
        <v>888</v>
      </c>
      <c r="B11" s="157">
        <v>55</v>
      </c>
      <c r="C11" s="157">
        <v>25</v>
      </c>
      <c r="D11" s="157"/>
      <c r="E11" s="158">
        <f t="shared" si="0"/>
        <v>0</v>
      </c>
    </row>
    <row r="12" spans="1:5" ht="15">
      <c r="A12" s="50" t="s">
        <v>889</v>
      </c>
      <c r="B12" s="157">
        <v>65</v>
      </c>
      <c r="C12" s="157">
        <v>30</v>
      </c>
      <c r="D12" s="157"/>
      <c r="E12" s="158">
        <f t="shared" si="0"/>
        <v>0</v>
      </c>
    </row>
    <row r="13" spans="1:5" ht="15">
      <c r="A13" s="50" t="s">
        <v>890</v>
      </c>
      <c r="B13" s="157">
        <v>65</v>
      </c>
      <c r="C13" s="157">
        <v>30</v>
      </c>
      <c r="D13" s="157"/>
      <c r="E13" s="158">
        <f t="shared" si="0"/>
        <v>0</v>
      </c>
    </row>
    <row r="14" spans="1:5" ht="15">
      <c r="A14" s="50" t="s">
        <v>891</v>
      </c>
      <c r="B14" s="157">
        <v>40</v>
      </c>
      <c r="C14" s="157">
        <v>30</v>
      </c>
      <c r="D14" s="157">
        <v>-1</v>
      </c>
      <c r="E14" s="158">
        <f t="shared" si="0"/>
        <v>30</v>
      </c>
    </row>
    <row r="15" spans="1:5" ht="15">
      <c r="A15" s="50" t="s">
        <v>892</v>
      </c>
      <c r="B15" s="157">
        <v>50</v>
      </c>
      <c r="C15" s="157">
        <v>30</v>
      </c>
      <c r="D15" s="157">
        <v>-2</v>
      </c>
      <c r="E15" s="158">
        <f t="shared" si="0"/>
        <v>15</v>
      </c>
    </row>
    <row r="16" spans="1:5" ht="15">
      <c r="A16" s="50" t="s">
        <v>893</v>
      </c>
      <c r="B16" s="157">
        <v>75</v>
      </c>
      <c r="C16" s="157">
        <v>35</v>
      </c>
      <c r="D16" s="157">
        <v>-2</v>
      </c>
      <c r="E16" s="158">
        <f t="shared" si="0"/>
        <v>17.5</v>
      </c>
    </row>
    <row r="17" spans="1:5" ht="15">
      <c r="A17" s="50" t="s">
        <v>894</v>
      </c>
      <c r="B17" s="157">
        <v>75</v>
      </c>
      <c r="C17" s="157">
        <v>35</v>
      </c>
      <c r="D17" s="157">
        <v>-3</v>
      </c>
      <c r="E17" s="158">
        <f t="shared" si="0"/>
        <v>11.67</v>
      </c>
    </row>
    <row r="18" spans="1:5" ht="15">
      <c r="A18" s="50" t="s">
        <v>895</v>
      </c>
      <c r="B18" s="157">
        <v>150</v>
      </c>
      <c r="C18" s="157">
        <v>40</v>
      </c>
      <c r="D18" s="157">
        <v>-4</v>
      </c>
      <c r="E18" s="158">
        <f t="shared" si="0"/>
        <v>10</v>
      </c>
    </row>
    <row r="19" spans="1:5" ht="15">
      <c r="A19" s="50" t="s">
        <v>896</v>
      </c>
      <c r="B19" s="157">
        <v>80</v>
      </c>
      <c r="C19" s="157">
        <v>45</v>
      </c>
      <c r="D19" s="157">
        <v>-3</v>
      </c>
      <c r="E19" s="158">
        <f t="shared" si="0"/>
        <v>15</v>
      </c>
    </row>
    <row r="20" spans="1:5" ht="15">
      <c r="A20" s="50" t="s">
        <v>897</v>
      </c>
      <c r="B20" s="157">
        <v>90</v>
      </c>
      <c r="C20" s="157">
        <v>50</v>
      </c>
      <c r="D20" s="157">
        <v>-4</v>
      </c>
      <c r="E20" s="158">
        <f t="shared" si="0"/>
        <v>12.5</v>
      </c>
    </row>
    <row r="21" spans="1:5" ht="15">
      <c r="A21" s="50" t="s">
        <v>898</v>
      </c>
      <c r="B21" s="157">
        <v>80</v>
      </c>
      <c r="C21" s="157">
        <v>50</v>
      </c>
      <c r="D21" s="157">
        <v>-5</v>
      </c>
      <c r="E21" s="158">
        <f t="shared" si="0"/>
        <v>10</v>
      </c>
    </row>
    <row r="22" spans="1:5" ht="15">
      <c r="A22" s="50" t="s">
        <v>899</v>
      </c>
      <c r="B22" s="157">
        <v>100</v>
      </c>
      <c r="C22" s="157">
        <v>55</v>
      </c>
      <c r="D22" s="157">
        <v>-6</v>
      </c>
      <c r="E22" s="158">
        <f t="shared" si="0"/>
        <v>9.17</v>
      </c>
    </row>
    <row r="23" spans="1:5" ht="15">
      <c r="A23" s="50" t="s">
        <v>900</v>
      </c>
      <c r="B23" s="157">
        <v>100</v>
      </c>
      <c r="C23" s="157">
        <v>60</v>
      </c>
      <c r="D23" s="157">
        <v>-4</v>
      </c>
      <c r="E23" s="158">
        <f t="shared" si="0"/>
        <v>15</v>
      </c>
    </row>
    <row r="24" spans="1:5" ht="15">
      <c r="A24" s="50" t="s">
        <v>724</v>
      </c>
      <c r="B24" s="157">
        <v>140</v>
      </c>
      <c r="C24" s="157">
        <v>60</v>
      </c>
      <c r="D24" s="157">
        <v>-5</v>
      </c>
      <c r="E24" s="158">
        <f t="shared" si="0"/>
        <v>12</v>
      </c>
    </row>
    <row r="25" spans="1:5" ht="15">
      <c r="A25" s="50" t="s">
        <v>901</v>
      </c>
      <c r="B25" s="157">
        <v>180</v>
      </c>
      <c r="C25" s="157">
        <v>65</v>
      </c>
      <c r="D25" s="157">
        <v>-5</v>
      </c>
      <c r="E25" s="158">
        <f t="shared" si="0"/>
        <v>13</v>
      </c>
    </row>
    <row r="26" spans="1:5" ht="15">
      <c r="A26" s="50" t="s">
        <v>902</v>
      </c>
      <c r="B26" s="157">
        <v>150</v>
      </c>
      <c r="C26" s="157">
        <v>65</v>
      </c>
      <c r="D26" s="157">
        <v>-6</v>
      </c>
      <c r="E26" s="158">
        <f t="shared" si="0"/>
        <v>10.83</v>
      </c>
    </row>
    <row r="27" spans="1:5" ht="15">
      <c r="A27" s="50" t="s">
        <v>903</v>
      </c>
      <c r="B27" s="157">
        <v>140</v>
      </c>
      <c r="C27" s="157">
        <v>65</v>
      </c>
      <c r="D27" s="157">
        <v>-7</v>
      </c>
      <c r="E27" s="158">
        <f t="shared" si="0"/>
        <v>9.2899999999999991</v>
      </c>
    </row>
    <row r="28" spans="1:5" ht="30">
      <c r="A28" s="50" t="s">
        <v>904</v>
      </c>
      <c r="B28" s="157">
        <v>120</v>
      </c>
      <c r="C28" s="157">
        <v>65</v>
      </c>
      <c r="D28" s="157">
        <v>-7</v>
      </c>
      <c r="E28" s="158">
        <f t="shared" si="0"/>
        <v>9.2899999999999991</v>
      </c>
    </row>
    <row r="29" spans="1:5" ht="15">
      <c r="A29" s="50" t="s">
        <v>905</v>
      </c>
      <c r="B29" s="157">
        <v>160</v>
      </c>
      <c r="C29" s="157">
        <v>70</v>
      </c>
      <c r="D29" s="157">
        <v>-8</v>
      </c>
      <c r="E29" s="158">
        <f t="shared" si="0"/>
        <v>8.75</v>
      </c>
    </row>
    <row r="30" spans="1:5" ht="15">
      <c r="A30" s="50" t="s">
        <v>906</v>
      </c>
      <c r="B30" s="157">
        <v>180</v>
      </c>
      <c r="C30" s="157">
        <v>75</v>
      </c>
      <c r="D30" s="157">
        <v>-7</v>
      </c>
      <c r="E30" s="158">
        <f t="shared" si="0"/>
        <v>10.71</v>
      </c>
    </row>
    <row r="31" spans="1:5" ht="15">
      <c r="A31" s="50" t="s">
        <v>907</v>
      </c>
      <c r="B31" s="157">
        <v>130</v>
      </c>
      <c r="C31" s="157">
        <v>75</v>
      </c>
      <c r="D31" s="157">
        <v>-8</v>
      </c>
      <c r="E31" s="158">
        <f t="shared" si="0"/>
        <v>9.3800000000000008</v>
      </c>
    </row>
    <row r="32" spans="1:5" ht="15">
      <c r="A32" s="50" t="s">
        <v>908</v>
      </c>
      <c r="B32" s="157">
        <v>200</v>
      </c>
      <c r="C32" s="157">
        <v>80</v>
      </c>
      <c r="D32" s="157">
        <v>-8</v>
      </c>
      <c r="E32" s="158">
        <f t="shared" si="0"/>
        <v>10</v>
      </c>
    </row>
    <row r="33" spans="1:5" ht="15">
      <c r="A33" s="50" t="s">
        <v>909</v>
      </c>
      <c r="B33" s="157">
        <v>200</v>
      </c>
      <c r="C33" s="157">
        <v>80</v>
      </c>
      <c r="D33" s="157">
        <v>-8</v>
      </c>
      <c r="E33" s="158">
        <f t="shared" si="0"/>
        <v>10</v>
      </c>
    </row>
    <row r="34" spans="1:5" ht="15">
      <c r="A34" s="50" t="s">
        <v>910</v>
      </c>
      <c r="B34" s="157">
        <v>240</v>
      </c>
      <c r="C34" s="157">
        <v>88</v>
      </c>
      <c r="D34" s="157">
        <v>-9</v>
      </c>
      <c r="E34" s="158">
        <f t="shared" si="0"/>
        <v>9.7799999999999994</v>
      </c>
    </row>
    <row r="35" spans="1:5" ht="15">
      <c r="A35" s="50" t="s">
        <v>911</v>
      </c>
      <c r="B35" s="157">
        <v>250</v>
      </c>
      <c r="C35" s="157">
        <v>90</v>
      </c>
      <c r="D35" s="157">
        <v>-10</v>
      </c>
      <c r="E35" s="158">
        <f t="shared" si="0"/>
        <v>9</v>
      </c>
    </row>
    <row r="36" spans="1:5" ht="15">
      <c r="A36" s="50" t="s">
        <v>912</v>
      </c>
      <c r="B36" s="157">
        <v>300</v>
      </c>
      <c r="C36" s="157">
        <v>95</v>
      </c>
      <c r="D36" s="157">
        <v>-10</v>
      </c>
      <c r="E36" s="158">
        <f t="shared" si="0"/>
        <v>9.5</v>
      </c>
    </row>
    <row r="37" spans="1:5" ht="15">
      <c r="A37" s="50" t="s">
        <v>416</v>
      </c>
      <c r="B37" s="157">
        <v>220</v>
      </c>
      <c r="C37" s="157">
        <v>95</v>
      </c>
      <c r="D37" s="157">
        <v>-10</v>
      </c>
      <c r="E37" s="158">
        <f t="shared" si="0"/>
        <v>9.5</v>
      </c>
    </row>
    <row r="38" spans="1:5" ht="15">
      <c r="A38" s="50" t="s">
        <v>913</v>
      </c>
      <c r="B38" s="157">
        <v>500</v>
      </c>
      <c r="C38" s="157">
        <v>100</v>
      </c>
      <c r="D38" s="157">
        <v>-9</v>
      </c>
      <c r="E38" s="158">
        <f t="shared" si="0"/>
        <v>11.11</v>
      </c>
    </row>
    <row r="39" spans="1:5" ht="15">
      <c r="A39" s="50" t="s">
        <v>692</v>
      </c>
      <c r="B39" s="157">
        <v>350</v>
      </c>
      <c r="C39" s="157">
        <v>105</v>
      </c>
      <c r="D39" s="157">
        <v>-11</v>
      </c>
      <c r="E39" s="158">
        <f t="shared" si="0"/>
        <v>9.5500000000000007</v>
      </c>
    </row>
    <row r="40" spans="1:5" ht="15">
      <c r="A40" s="50" t="s">
        <v>914</v>
      </c>
      <c r="B40" s="157">
        <v>400</v>
      </c>
      <c r="C40" s="157">
        <v>110</v>
      </c>
      <c r="D40" s="157">
        <v>-11</v>
      </c>
      <c r="E40" s="158">
        <f t="shared" si="0"/>
        <v>10</v>
      </c>
    </row>
    <row r="41" spans="1:5" ht="15">
      <c r="A41" s="50" t="s">
        <v>915</v>
      </c>
      <c r="B41" s="157">
        <v>400</v>
      </c>
      <c r="C41" s="157">
        <v>105</v>
      </c>
      <c r="D41" s="157">
        <v>-11</v>
      </c>
      <c r="E41" s="158">
        <f t="shared" si="0"/>
        <v>9.5500000000000007</v>
      </c>
    </row>
    <row r="42" spans="1:5" ht="15">
      <c r="A42" s="50" t="s">
        <v>916</v>
      </c>
      <c r="B42" s="157">
        <v>450</v>
      </c>
      <c r="C42" s="157">
        <v>115</v>
      </c>
      <c r="D42" s="157">
        <v>-11</v>
      </c>
      <c r="E42" s="158">
        <f t="shared" si="0"/>
        <v>10.45</v>
      </c>
    </row>
    <row r="43" spans="1:5" ht="15">
      <c r="A43" s="50" t="s">
        <v>917</v>
      </c>
      <c r="B43" s="157">
        <v>1400</v>
      </c>
      <c r="C43" s="157">
        <v>120</v>
      </c>
      <c r="D43" s="157">
        <v>-9</v>
      </c>
      <c r="E43" s="158">
        <f t="shared" si="0"/>
        <v>13.33</v>
      </c>
    </row>
    <row r="44" spans="1:5" ht="15">
      <c r="A44" s="50" t="s">
        <v>918</v>
      </c>
      <c r="B44" s="157">
        <v>650</v>
      </c>
      <c r="C44" s="157">
        <v>130</v>
      </c>
      <c r="D44" s="157">
        <v>-13</v>
      </c>
      <c r="E44" s="158">
        <f t="shared" si="0"/>
        <v>10</v>
      </c>
    </row>
    <row r="45" spans="1:5" ht="15">
      <c r="A45" s="50" t="s">
        <v>919</v>
      </c>
      <c r="B45" s="157">
        <v>750</v>
      </c>
      <c r="C45" s="157">
        <v>135</v>
      </c>
      <c r="D45" s="157">
        <v>-15</v>
      </c>
      <c r="E45" s="158">
        <f t="shared" si="0"/>
        <v>9</v>
      </c>
    </row>
    <row r="46" spans="1:5" ht="15">
      <c r="A46" s="50" t="s">
        <v>920</v>
      </c>
      <c r="B46" s="157">
        <v>800</v>
      </c>
      <c r="C46" s="157">
        <v>140</v>
      </c>
      <c r="D46" s="157">
        <v>-16</v>
      </c>
      <c r="E46" s="158">
        <f t="shared" si="0"/>
        <v>8.75</v>
      </c>
    </row>
    <row r="47" spans="1:5" ht="15">
      <c r="A47" s="50" t="s">
        <v>921</v>
      </c>
      <c r="B47" s="157">
        <v>550</v>
      </c>
      <c r="C47" s="157">
        <v>140</v>
      </c>
      <c r="D47" s="157">
        <v>-18</v>
      </c>
      <c r="E47" s="158">
        <f t="shared" si="0"/>
        <v>7.78</v>
      </c>
    </row>
    <row r="48" spans="1:5" ht="15">
      <c r="A48" s="50" t="s">
        <v>922</v>
      </c>
      <c r="B48" s="157">
        <v>1050</v>
      </c>
      <c r="C48" s="157">
        <v>150</v>
      </c>
      <c r="D48" s="157">
        <v>-15</v>
      </c>
      <c r="E48" s="158">
        <f t="shared" si="0"/>
        <v>10</v>
      </c>
    </row>
    <row r="49" spans="1:5" ht="15">
      <c r="A49" s="50" t="s">
        <v>143</v>
      </c>
      <c r="B49" s="157">
        <v>1000</v>
      </c>
      <c r="C49" s="157">
        <v>150</v>
      </c>
      <c r="D49" s="157">
        <v>-18</v>
      </c>
      <c r="E49" s="158">
        <f t="shared" si="0"/>
        <v>8.33</v>
      </c>
    </row>
    <row r="50" spans="1:5" ht="15">
      <c r="A50" s="50" t="s">
        <v>923</v>
      </c>
      <c r="B50" s="157">
        <v>2000</v>
      </c>
      <c r="C50" s="157">
        <v>135</v>
      </c>
      <c r="D50" s="157">
        <v>-12</v>
      </c>
      <c r="E50" s="158">
        <f t="shared" si="0"/>
        <v>11.25</v>
      </c>
    </row>
    <row r="51" spans="1:5" ht="15">
      <c r="A51" s="50" t="s">
        <v>924</v>
      </c>
      <c r="B51" s="157">
        <v>1300</v>
      </c>
      <c r="C51" s="157">
        <v>170</v>
      </c>
      <c r="D51" s="157">
        <v>-21</v>
      </c>
      <c r="E51" s="158">
        <f t="shared" si="0"/>
        <v>8.1</v>
      </c>
    </row>
    <row r="52" spans="1:5" ht="15">
      <c r="A52" s="50" t="s">
        <v>925</v>
      </c>
      <c r="B52" s="157">
        <v>700</v>
      </c>
      <c r="C52" s="157">
        <v>170</v>
      </c>
      <c r="D52" s="157">
        <v>-24</v>
      </c>
      <c r="E52" s="158">
        <f t="shared" si="0"/>
        <v>7.08</v>
      </c>
    </row>
    <row r="53" spans="1:5" ht="30">
      <c r="A53" s="50" t="s">
        <v>926</v>
      </c>
      <c r="B53" s="157">
        <v>1000</v>
      </c>
      <c r="C53" s="157">
        <v>170</v>
      </c>
      <c r="D53" s="157">
        <v>-26</v>
      </c>
      <c r="E53" s="158">
        <f t="shared" si="0"/>
        <v>6.54</v>
      </c>
    </row>
    <row r="54" spans="1:5" ht="15">
      <c r="A54" s="50" t="s">
        <v>927</v>
      </c>
      <c r="B54" s="157">
        <v>3000</v>
      </c>
      <c r="C54" s="157">
        <v>180</v>
      </c>
      <c r="D54" s="157">
        <v>-19</v>
      </c>
      <c r="E54" s="158">
        <f t="shared" si="0"/>
        <v>9.4700000000000006</v>
      </c>
    </row>
    <row r="55" spans="1:5" ht="15">
      <c r="A55" s="50" t="s">
        <v>928</v>
      </c>
      <c r="B55" s="157">
        <v>1600</v>
      </c>
      <c r="C55" s="157">
        <v>190</v>
      </c>
      <c r="D55" s="157">
        <v>-24</v>
      </c>
      <c r="E55" s="158">
        <f t="shared" si="0"/>
        <v>7.92</v>
      </c>
    </row>
    <row r="56" spans="1:5" ht="15">
      <c r="A56" s="50" t="s">
        <v>929</v>
      </c>
      <c r="B56" s="157">
        <v>1600</v>
      </c>
      <c r="C56" s="157">
        <v>200</v>
      </c>
      <c r="D56" s="157">
        <v>-22</v>
      </c>
      <c r="E56" s="158">
        <f t="shared" si="0"/>
        <v>9.09</v>
      </c>
    </row>
    <row r="57" spans="1:5" ht="30">
      <c r="A57" s="50" t="s">
        <v>930</v>
      </c>
      <c r="B57" s="157">
        <v>1800</v>
      </c>
      <c r="C57" s="157">
        <v>200</v>
      </c>
      <c r="D57" s="157">
        <v>-25</v>
      </c>
      <c r="E57" s="158">
        <f t="shared" si="0"/>
        <v>8</v>
      </c>
    </row>
    <row r="58" spans="1:5" ht="15">
      <c r="A58" s="50" t="s">
        <v>931</v>
      </c>
      <c r="B58" s="157">
        <v>2000</v>
      </c>
      <c r="C58" s="157">
        <v>210</v>
      </c>
      <c r="D58" s="157">
        <v>-26</v>
      </c>
      <c r="E58" s="158">
        <f t="shared" si="0"/>
        <v>8.08</v>
      </c>
    </row>
    <row r="59" spans="1:5" ht="15">
      <c r="A59" s="50" t="s">
        <v>932</v>
      </c>
      <c r="B59" s="157">
        <v>3400</v>
      </c>
      <c r="C59" s="157">
        <v>210</v>
      </c>
      <c r="D59" s="157">
        <v>-24</v>
      </c>
      <c r="E59" s="158">
        <f t="shared" si="0"/>
        <v>8.75</v>
      </c>
    </row>
    <row r="60" spans="1:5" ht="15">
      <c r="A60" s="50" t="s">
        <v>933</v>
      </c>
      <c r="B60" s="157">
        <v>4400</v>
      </c>
      <c r="C60" s="157">
        <v>230</v>
      </c>
      <c r="D60" s="157">
        <v>-26</v>
      </c>
      <c r="E60" s="158">
        <f t="shared" si="0"/>
        <v>8.85</v>
      </c>
    </row>
    <row r="61" spans="1:5" ht="15">
      <c r="A61" s="50" t="s">
        <v>934</v>
      </c>
      <c r="B61" s="157">
        <v>3000</v>
      </c>
      <c r="C61" s="157">
        <v>230</v>
      </c>
      <c r="D61" s="157">
        <v>-30</v>
      </c>
      <c r="E61" s="158">
        <f t="shared" si="0"/>
        <v>7.67</v>
      </c>
    </row>
    <row r="62" spans="1:5" ht="30">
      <c r="A62" s="50" t="s">
        <v>935</v>
      </c>
      <c r="B62" s="157">
        <v>1200</v>
      </c>
      <c r="C62" s="157">
        <v>230</v>
      </c>
      <c r="D62" s="157">
        <v>-35</v>
      </c>
      <c r="E62" s="158">
        <f t="shared" si="0"/>
        <v>6.57</v>
      </c>
    </row>
    <row r="63" spans="1:5" ht="15">
      <c r="A63" s="50" t="s">
        <v>936</v>
      </c>
      <c r="B63" s="157">
        <v>4000</v>
      </c>
      <c r="C63" s="157">
        <v>240</v>
      </c>
      <c r="D63" s="157">
        <v>-28</v>
      </c>
      <c r="E63" s="158">
        <f t="shared" si="0"/>
        <v>8.57</v>
      </c>
    </row>
    <row r="64" spans="1:5" ht="15">
      <c r="A64" s="50" t="s">
        <v>937</v>
      </c>
      <c r="B64" s="157">
        <v>3000</v>
      </c>
      <c r="C64" s="157">
        <v>240</v>
      </c>
      <c r="D64" s="157">
        <v>-36</v>
      </c>
      <c r="E64" s="158">
        <f t="shared" si="0"/>
        <v>6.67</v>
      </c>
    </row>
    <row r="65" spans="1:5" ht="15">
      <c r="A65" s="50" t="s">
        <v>938</v>
      </c>
      <c r="B65" s="157">
        <v>4000</v>
      </c>
      <c r="C65" s="157">
        <v>250</v>
      </c>
      <c r="D65" s="157">
        <v>-26</v>
      </c>
      <c r="E65" s="158">
        <f t="shared" si="0"/>
        <v>9.6199999999999992</v>
      </c>
    </row>
    <row r="66" spans="1:5" ht="15.75" customHeight="1">
      <c r="A66" s="53" t="s">
        <v>1352</v>
      </c>
      <c r="B66" s="159">
        <v>4500</v>
      </c>
      <c r="C66" s="159">
        <v>260</v>
      </c>
      <c r="D66" s="159">
        <v>-30</v>
      </c>
      <c r="E66" s="22">
        <f t="shared" si="0"/>
        <v>8.67</v>
      </c>
    </row>
    <row r="67" spans="1:5" ht="30">
      <c r="A67" s="50" t="s">
        <v>939</v>
      </c>
      <c r="B67" s="157">
        <v>4000</v>
      </c>
      <c r="C67" s="157">
        <v>260</v>
      </c>
      <c r="D67" s="157">
        <v>-32</v>
      </c>
      <c r="E67" s="158">
        <f t="shared" si="0"/>
        <v>8.1300000000000008</v>
      </c>
    </row>
    <row r="68" spans="1:5" ht="15">
      <c r="A68" s="50" t="s">
        <v>940</v>
      </c>
      <c r="B68" s="157">
        <v>5400</v>
      </c>
      <c r="C68" s="157">
        <v>260</v>
      </c>
      <c r="D68" s="157">
        <v>-28</v>
      </c>
      <c r="E68" s="158">
        <f t="shared" si="0"/>
        <v>9.2899999999999991</v>
      </c>
    </row>
    <row r="69" spans="1:5" ht="15">
      <c r="A69" s="50" t="s">
        <v>941</v>
      </c>
      <c r="B69" s="157">
        <v>4000</v>
      </c>
      <c r="C69" s="157">
        <v>260</v>
      </c>
      <c r="D69" s="157">
        <v>-42</v>
      </c>
      <c r="E69" s="158">
        <f t="shared" si="0"/>
        <v>6.19</v>
      </c>
    </row>
    <row r="70" spans="1:5" ht="15">
      <c r="A70" s="50" t="s">
        <v>942</v>
      </c>
      <c r="B70" s="157">
        <v>7000</v>
      </c>
      <c r="C70" s="157">
        <v>280</v>
      </c>
      <c r="D70" s="157">
        <v>-32</v>
      </c>
      <c r="E70" s="158">
        <f t="shared" si="0"/>
        <v>8.75</v>
      </c>
    </row>
    <row r="71" spans="1:5" ht="15">
      <c r="A71" s="50" t="s">
        <v>943</v>
      </c>
      <c r="B71" s="157">
        <v>5000</v>
      </c>
      <c r="C71" s="157">
        <v>285</v>
      </c>
      <c r="D71" s="157">
        <v>-40</v>
      </c>
      <c r="E71" s="158">
        <f t="shared" si="0"/>
        <v>7.13</v>
      </c>
    </row>
    <row r="72" spans="1:5" ht="30">
      <c r="A72" s="50" t="s">
        <v>944</v>
      </c>
      <c r="B72" s="157">
        <v>5600</v>
      </c>
      <c r="C72" s="157">
        <v>290</v>
      </c>
      <c r="D72" s="157">
        <v>-36</v>
      </c>
      <c r="E72" s="158">
        <f t="shared" si="0"/>
        <v>8.06</v>
      </c>
    </row>
    <row r="73" spans="1:5" ht="30">
      <c r="A73" s="50" t="s">
        <v>551</v>
      </c>
      <c r="B73" s="157">
        <v>6000</v>
      </c>
      <c r="C73" s="157">
        <v>300</v>
      </c>
      <c r="D73" s="157">
        <v>-34</v>
      </c>
      <c r="E73" s="158">
        <f t="shared" si="0"/>
        <v>8.82</v>
      </c>
    </row>
    <row r="74" spans="1:5" ht="15">
      <c r="A74" s="50" t="s">
        <v>945</v>
      </c>
      <c r="B74" s="157">
        <v>6000</v>
      </c>
      <c r="C74" s="157">
        <v>300</v>
      </c>
      <c r="D74" s="157">
        <v>-38</v>
      </c>
      <c r="E74" s="158">
        <f t="shared" si="0"/>
        <v>7.89</v>
      </c>
    </row>
    <row r="75" spans="1:5" ht="15">
      <c r="A75" s="50" t="s">
        <v>946</v>
      </c>
      <c r="B75" s="157">
        <v>7000</v>
      </c>
      <c r="C75" s="157">
        <v>320</v>
      </c>
      <c r="D75" s="157">
        <v>-42</v>
      </c>
      <c r="E75" s="158">
        <f t="shared" si="0"/>
        <v>7.62</v>
      </c>
    </row>
    <row r="76" spans="1:5" ht="15">
      <c r="A76" s="50" t="s">
        <v>947</v>
      </c>
      <c r="B76" s="157">
        <v>8500</v>
      </c>
      <c r="C76" s="157">
        <v>340</v>
      </c>
      <c r="D76" s="157">
        <v>-40</v>
      </c>
      <c r="E76" s="158">
        <f t="shared" si="0"/>
        <v>8.5</v>
      </c>
    </row>
    <row r="77" spans="1:5" ht="15">
      <c r="A77" s="50" t="s">
        <v>948</v>
      </c>
      <c r="B77" s="157">
        <v>9000</v>
      </c>
      <c r="C77" s="157">
        <v>360</v>
      </c>
      <c r="D77" s="157">
        <v>-42</v>
      </c>
      <c r="E77" s="158">
        <f t="shared" si="0"/>
        <v>8.57</v>
      </c>
    </row>
    <row r="78" spans="1:5" ht="15">
      <c r="A78" s="50" t="s">
        <v>949</v>
      </c>
      <c r="B78" s="157">
        <v>12000</v>
      </c>
      <c r="C78" s="157">
        <v>360</v>
      </c>
      <c r="D78" s="157">
        <v>-40</v>
      </c>
      <c r="E78" s="158">
        <f t="shared" si="0"/>
        <v>9</v>
      </c>
    </row>
    <row r="79" spans="1:5" ht="15">
      <c r="A79" s="50" t="s">
        <v>950</v>
      </c>
      <c r="B79" s="157">
        <v>10500</v>
      </c>
      <c r="C79" s="157">
        <v>380</v>
      </c>
      <c r="D79" s="157">
        <v>-44</v>
      </c>
      <c r="E79" s="158">
        <f t="shared" si="0"/>
        <v>8.64</v>
      </c>
    </row>
  </sheetData>
  <phoneticPr fontId="2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10"/>
  <sheetViews>
    <sheetView workbookViewId="0">
      <pane ySplit="1" topLeftCell="A69" activePane="bottomLeft" state="frozen"/>
      <selection pane="bottomLeft" activeCell="V111" sqref="A111:XFD1010"/>
    </sheetView>
  </sheetViews>
  <sheetFormatPr defaultColWidth="12.5703125" defaultRowHeight="15.75" customHeight="1"/>
  <cols>
    <col min="1" max="1" width="26.28515625" customWidth="1"/>
  </cols>
  <sheetData>
    <row r="1" spans="1:6" ht="15">
      <c r="A1" s="167" t="s">
        <v>1063</v>
      </c>
      <c r="B1" s="168" t="s">
        <v>1064</v>
      </c>
      <c r="C1" s="168" t="s">
        <v>1059</v>
      </c>
      <c r="D1" s="168" t="s">
        <v>1060</v>
      </c>
      <c r="E1" s="169" t="s">
        <v>1061</v>
      </c>
      <c r="F1" s="168" t="s">
        <v>1065</v>
      </c>
    </row>
    <row r="2" spans="1:6" ht="15">
      <c r="A2" s="50" t="s">
        <v>951</v>
      </c>
      <c r="B2" s="157">
        <v>15</v>
      </c>
      <c r="C2" s="157">
        <v>10</v>
      </c>
      <c r="D2" s="157">
        <v>0</v>
      </c>
      <c r="E2" s="157">
        <f t="shared" ref="E2:E110" si="0">IFERROR(ABS(ROUND(C:C/D:D,2)),0)</f>
        <v>0</v>
      </c>
      <c r="F2" s="39"/>
    </row>
    <row r="3" spans="1:6" ht="15">
      <c r="A3" s="50" t="s">
        <v>952</v>
      </c>
      <c r="B3" s="157">
        <v>30</v>
      </c>
      <c r="C3" s="157">
        <v>20</v>
      </c>
      <c r="D3" s="157">
        <v>0</v>
      </c>
      <c r="E3" s="157">
        <f t="shared" si="0"/>
        <v>0</v>
      </c>
      <c r="F3" s="39"/>
    </row>
    <row r="4" spans="1:6" ht="15">
      <c r="A4" s="50" t="s">
        <v>188</v>
      </c>
      <c r="B4" s="157">
        <v>40</v>
      </c>
      <c r="C4" s="157">
        <v>30</v>
      </c>
      <c r="D4" s="157">
        <v>0</v>
      </c>
      <c r="E4" s="157">
        <f t="shared" si="0"/>
        <v>0</v>
      </c>
      <c r="F4" s="39"/>
    </row>
    <row r="5" spans="1:6" ht="15">
      <c r="A5" s="50" t="s">
        <v>232</v>
      </c>
      <c r="B5" s="157">
        <v>60</v>
      </c>
      <c r="C5" s="157">
        <v>30</v>
      </c>
      <c r="D5" s="157">
        <v>0</v>
      </c>
      <c r="E5" s="157">
        <f t="shared" si="0"/>
        <v>0</v>
      </c>
      <c r="F5" s="39"/>
    </row>
    <row r="6" spans="1:6" ht="15">
      <c r="A6" s="50" t="s">
        <v>248</v>
      </c>
      <c r="B6" s="157">
        <v>40</v>
      </c>
      <c r="C6" s="157">
        <v>30</v>
      </c>
      <c r="D6" s="157">
        <v>0</v>
      </c>
      <c r="E6" s="157">
        <f t="shared" si="0"/>
        <v>0</v>
      </c>
      <c r="F6" s="39"/>
    </row>
    <row r="7" spans="1:6" ht="15">
      <c r="A7" s="50" t="s">
        <v>136</v>
      </c>
      <c r="B7" s="157">
        <v>50</v>
      </c>
      <c r="C7" s="157">
        <v>30</v>
      </c>
      <c r="D7" s="157">
        <v>0</v>
      </c>
      <c r="E7" s="157">
        <f t="shared" si="0"/>
        <v>0</v>
      </c>
      <c r="F7" s="39"/>
    </row>
    <row r="8" spans="1:6" ht="15">
      <c r="A8" s="50" t="s">
        <v>953</v>
      </c>
      <c r="B8" s="157">
        <v>70</v>
      </c>
      <c r="C8" s="157">
        <v>30</v>
      </c>
      <c r="D8" s="157">
        <v>0</v>
      </c>
      <c r="E8" s="157">
        <f t="shared" si="0"/>
        <v>0</v>
      </c>
      <c r="F8" s="39"/>
    </row>
    <row r="9" spans="1:6" ht="15">
      <c r="A9" s="50" t="s">
        <v>205</v>
      </c>
      <c r="B9" s="157">
        <v>80</v>
      </c>
      <c r="C9" s="157">
        <v>30</v>
      </c>
      <c r="D9" s="157">
        <v>0</v>
      </c>
      <c r="E9" s="157">
        <f t="shared" si="0"/>
        <v>0</v>
      </c>
      <c r="F9" s="39"/>
    </row>
    <row r="10" spans="1:6" ht="15">
      <c r="A10" s="50" t="s">
        <v>954</v>
      </c>
      <c r="B10" s="157">
        <v>30</v>
      </c>
      <c r="C10" s="157">
        <v>30</v>
      </c>
      <c r="D10" s="157">
        <v>0</v>
      </c>
      <c r="E10" s="157">
        <f t="shared" si="0"/>
        <v>0</v>
      </c>
      <c r="F10" s="39"/>
    </row>
    <row r="11" spans="1:6" ht="15">
      <c r="A11" s="50" t="s">
        <v>955</v>
      </c>
      <c r="B11" s="157">
        <v>50</v>
      </c>
      <c r="C11" s="157">
        <v>30</v>
      </c>
      <c r="D11" s="157">
        <v>0</v>
      </c>
      <c r="E11" s="157">
        <f t="shared" si="0"/>
        <v>0</v>
      </c>
      <c r="F11" s="39"/>
    </row>
    <row r="12" spans="1:6" ht="15">
      <c r="A12" s="50" t="s">
        <v>956</v>
      </c>
      <c r="B12" s="157">
        <v>50</v>
      </c>
      <c r="C12" s="157">
        <v>30</v>
      </c>
      <c r="D12" s="157">
        <v>0</v>
      </c>
      <c r="E12" s="157">
        <f t="shared" si="0"/>
        <v>0</v>
      </c>
      <c r="F12" s="39"/>
    </row>
    <row r="13" spans="1:6" ht="15">
      <c r="A13" s="50" t="s">
        <v>957</v>
      </c>
      <c r="B13" s="157">
        <v>70</v>
      </c>
      <c r="C13" s="157">
        <v>30</v>
      </c>
      <c r="D13" s="157">
        <v>0</v>
      </c>
      <c r="E13" s="157">
        <f t="shared" si="0"/>
        <v>0</v>
      </c>
      <c r="F13" s="39"/>
    </row>
    <row r="14" spans="1:6" ht="15">
      <c r="A14" s="50" t="s">
        <v>958</v>
      </c>
      <c r="B14" s="157">
        <v>20</v>
      </c>
      <c r="C14" s="157">
        <v>30</v>
      </c>
      <c r="D14" s="157">
        <v>0</v>
      </c>
      <c r="E14" s="157">
        <f t="shared" si="0"/>
        <v>0</v>
      </c>
      <c r="F14" s="39">
        <v>-1</v>
      </c>
    </row>
    <row r="15" spans="1:6" ht="15">
      <c r="A15" s="50" t="s">
        <v>959</v>
      </c>
      <c r="B15" s="157">
        <v>120</v>
      </c>
      <c r="C15" s="157">
        <v>40</v>
      </c>
      <c r="D15" s="157">
        <v>0</v>
      </c>
      <c r="E15" s="157">
        <f t="shared" si="0"/>
        <v>0</v>
      </c>
      <c r="F15" s="39"/>
    </row>
    <row r="16" spans="1:6" ht="15">
      <c r="A16" s="50" t="s">
        <v>960</v>
      </c>
      <c r="B16" s="157">
        <v>100</v>
      </c>
      <c r="C16" s="157">
        <v>40</v>
      </c>
      <c r="D16" s="157">
        <v>0</v>
      </c>
      <c r="E16" s="157">
        <f t="shared" si="0"/>
        <v>0</v>
      </c>
      <c r="F16" s="39"/>
    </row>
    <row r="17" spans="1:6" ht="15">
      <c r="A17" s="50" t="s">
        <v>961</v>
      </c>
      <c r="B17" s="157">
        <v>100</v>
      </c>
      <c r="C17" s="157">
        <v>40</v>
      </c>
      <c r="D17" s="157">
        <v>0</v>
      </c>
      <c r="E17" s="157">
        <f t="shared" si="0"/>
        <v>0</v>
      </c>
      <c r="F17" s="39"/>
    </row>
    <row r="18" spans="1:6" ht="15">
      <c r="A18" s="50" t="s">
        <v>962</v>
      </c>
      <c r="B18" s="157">
        <v>60</v>
      </c>
      <c r="C18" s="157">
        <v>40</v>
      </c>
      <c r="D18" s="157">
        <v>0</v>
      </c>
      <c r="E18" s="157">
        <f t="shared" si="0"/>
        <v>0</v>
      </c>
      <c r="F18" s="39"/>
    </row>
    <row r="19" spans="1:6" ht="15">
      <c r="A19" s="50" t="s">
        <v>963</v>
      </c>
      <c r="B19" s="157">
        <v>70</v>
      </c>
      <c r="C19" s="157">
        <v>40</v>
      </c>
      <c r="D19" s="157">
        <v>-1</v>
      </c>
      <c r="E19" s="157">
        <f t="shared" si="0"/>
        <v>40</v>
      </c>
      <c r="F19" s="39"/>
    </row>
    <row r="20" spans="1:6" ht="15">
      <c r="A20" s="50" t="s">
        <v>964</v>
      </c>
      <c r="B20" s="157">
        <v>60</v>
      </c>
      <c r="C20" s="157">
        <v>40</v>
      </c>
      <c r="D20" s="157">
        <v>-2</v>
      </c>
      <c r="E20" s="157">
        <f t="shared" si="0"/>
        <v>20</v>
      </c>
      <c r="F20" s="39"/>
    </row>
    <row r="21" spans="1:6" ht="15">
      <c r="A21" s="50" t="s">
        <v>965</v>
      </c>
      <c r="B21" s="157">
        <v>60</v>
      </c>
      <c r="C21" s="157">
        <v>40</v>
      </c>
      <c r="D21" s="157">
        <v>-2</v>
      </c>
      <c r="E21" s="157">
        <f t="shared" si="0"/>
        <v>20</v>
      </c>
      <c r="F21" s="39"/>
    </row>
    <row r="22" spans="1:6" ht="15">
      <c r="A22" s="50" t="s">
        <v>966</v>
      </c>
      <c r="B22" s="157">
        <v>120</v>
      </c>
      <c r="C22" s="157">
        <v>45</v>
      </c>
      <c r="D22" s="157">
        <v>0</v>
      </c>
      <c r="E22" s="157">
        <f t="shared" si="0"/>
        <v>0</v>
      </c>
      <c r="F22" s="39"/>
    </row>
    <row r="23" spans="1:6" ht="15">
      <c r="A23" s="50" t="s">
        <v>967</v>
      </c>
      <c r="B23" s="157">
        <v>80</v>
      </c>
      <c r="C23" s="157">
        <v>45</v>
      </c>
      <c r="D23" s="157">
        <v>-3</v>
      </c>
      <c r="E23" s="157">
        <f t="shared" si="0"/>
        <v>15</v>
      </c>
      <c r="F23" s="39"/>
    </row>
    <row r="24" spans="1:6" ht="15">
      <c r="A24" s="50" t="s">
        <v>968</v>
      </c>
      <c r="B24" s="157">
        <v>100</v>
      </c>
      <c r="C24" s="157">
        <v>50</v>
      </c>
      <c r="D24" s="157">
        <v>-2</v>
      </c>
      <c r="E24" s="157">
        <f t="shared" si="0"/>
        <v>25</v>
      </c>
      <c r="F24" s="39"/>
    </row>
    <row r="25" spans="1:6" ht="15">
      <c r="A25" s="50" t="s">
        <v>969</v>
      </c>
      <c r="B25" s="157">
        <v>110</v>
      </c>
      <c r="C25" s="157">
        <v>50</v>
      </c>
      <c r="D25" s="157">
        <v>-2</v>
      </c>
      <c r="E25" s="157">
        <f t="shared" si="0"/>
        <v>25</v>
      </c>
      <c r="F25" s="39"/>
    </row>
    <row r="26" spans="1:6" ht="15">
      <c r="A26" s="50" t="s">
        <v>970</v>
      </c>
      <c r="B26" s="157">
        <v>100</v>
      </c>
      <c r="C26" s="157">
        <v>50</v>
      </c>
      <c r="D26" s="157">
        <v>-3</v>
      </c>
      <c r="E26" s="157">
        <f t="shared" si="0"/>
        <v>16.670000000000002</v>
      </c>
      <c r="F26" s="39"/>
    </row>
    <row r="27" spans="1:6" ht="15">
      <c r="A27" s="50" t="s">
        <v>971</v>
      </c>
      <c r="B27" s="157">
        <v>150</v>
      </c>
      <c r="C27" s="157">
        <v>60</v>
      </c>
      <c r="D27" s="157">
        <v>-1</v>
      </c>
      <c r="E27" s="157">
        <f t="shared" si="0"/>
        <v>60</v>
      </c>
      <c r="F27" s="39"/>
    </row>
    <row r="28" spans="1:6" ht="15">
      <c r="A28" s="50" t="s">
        <v>972</v>
      </c>
      <c r="B28" s="157">
        <v>140</v>
      </c>
      <c r="C28" s="157">
        <v>60</v>
      </c>
      <c r="D28" s="157">
        <v>-3</v>
      </c>
      <c r="E28" s="157">
        <f t="shared" si="0"/>
        <v>20</v>
      </c>
      <c r="F28" s="39">
        <v>-1</v>
      </c>
    </row>
    <row r="29" spans="1:6" ht="15">
      <c r="A29" s="50" t="s">
        <v>973</v>
      </c>
      <c r="B29" s="157">
        <v>300</v>
      </c>
      <c r="C29" s="157">
        <v>60</v>
      </c>
      <c r="D29" s="157">
        <v>-5</v>
      </c>
      <c r="E29" s="157">
        <f t="shared" si="0"/>
        <v>12</v>
      </c>
      <c r="F29" s="39"/>
    </row>
    <row r="30" spans="1:6" ht="15">
      <c r="A30" s="50" t="s">
        <v>974</v>
      </c>
      <c r="B30" s="157">
        <v>140</v>
      </c>
      <c r="C30" s="157">
        <v>70</v>
      </c>
      <c r="D30" s="157">
        <v>-3</v>
      </c>
      <c r="E30" s="157">
        <f t="shared" si="0"/>
        <v>23.33</v>
      </c>
      <c r="F30" s="39"/>
    </row>
    <row r="31" spans="1:6" ht="15">
      <c r="A31" s="50" t="s">
        <v>975</v>
      </c>
      <c r="B31" s="157">
        <v>150</v>
      </c>
      <c r="C31" s="157">
        <v>70</v>
      </c>
      <c r="D31" s="157">
        <v>-4</v>
      </c>
      <c r="E31" s="157">
        <f t="shared" si="0"/>
        <v>17.5</v>
      </c>
      <c r="F31" s="39"/>
    </row>
    <row r="32" spans="1:6" ht="15">
      <c r="A32" s="50" t="s">
        <v>976</v>
      </c>
      <c r="B32" s="157">
        <v>200</v>
      </c>
      <c r="C32" s="157">
        <v>80</v>
      </c>
      <c r="D32" s="157">
        <v>-4</v>
      </c>
      <c r="E32" s="157">
        <f t="shared" si="0"/>
        <v>20</v>
      </c>
      <c r="F32" s="39"/>
    </row>
    <row r="33" spans="1:6" ht="15">
      <c r="A33" s="50" t="s">
        <v>977</v>
      </c>
      <c r="B33" s="157">
        <v>200</v>
      </c>
      <c r="C33" s="157">
        <v>75</v>
      </c>
      <c r="D33" s="157">
        <v>-3</v>
      </c>
      <c r="E33" s="157">
        <f t="shared" si="0"/>
        <v>25</v>
      </c>
      <c r="F33" s="39">
        <v>-1</v>
      </c>
    </row>
    <row r="34" spans="1:6" ht="15">
      <c r="A34" s="50" t="s">
        <v>655</v>
      </c>
      <c r="B34" s="157">
        <v>1000</v>
      </c>
      <c r="C34" s="157">
        <v>90</v>
      </c>
      <c r="D34" s="157">
        <v>-3</v>
      </c>
      <c r="E34" s="157">
        <f t="shared" si="0"/>
        <v>30</v>
      </c>
      <c r="F34" s="39"/>
    </row>
    <row r="35" spans="1:6" ht="15">
      <c r="A35" s="50" t="s">
        <v>978</v>
      </c>
      <c r="B35" s="157">
        <v>250</v>
      </c>
      <c r="C35" s="157">
        <v>90</v>
      </c>
      <c r="D35" s="157">
        <v>-4</v>
      </c>
      <c r="E35" s="157">
        <f t="shared" si="0"/>
        <v>22.5</v>
      </c>
      <c r="F35" s="39"/>
    </row>
    <row r="36" spans="1:6" ht="15">
      <c r="A36" s="50" t="s">
        <v>979</v>
      </c>
      <c r="B36" s="157">
        <v>200</v>
      </c>
      <c r="C36" s="157">
        <v>90</v>
      </c>
      <c r="D36" s="157">
        <v>-5</v>
      </c>
      <c r="E36" s="157">
        <f t="shared" si="0"/>
        <v>18</v>
      </c>
      <c r="F36" s="39">
        <v>-1</v>
      </c>
    </row>
    <row r="37" spans="1:6" ht="15">
      <c r="A37" s="50" t="s">
        <v>264</v>
      </c>
      <c r="B37" s="157">
        <v>250</v>
      </c>
      <c r="C37" s="157">
        <v>95</v>
      </c>
      <c r="D37" s="157">
        <v>-8</v>
      </c>
      <c r="E37" s="157">
        <f t="shared" si="0"/>
        <v>11.88</v>
      </c>
      <c r="F37" s="39">
        <v>-1</v>
      </c>
    </row>
    <row r="38" spans="1:6" ht="15">
      <c r="A38" s="50" t="s">
        <v>980</v>
      </c>
      <c r="B38" s="157">
        <v>600</v>
      </c>
      <c r="C38" s="157">
        <v>100</v>
      </c>
      <c r="D38" s="157">
        <v>-4</v>
      </c>
      <c r="E38" s="157">
        <f t="shared" si="0"/>
        <v>25</v>
      </c>
      <c r="F38" s="39">
        <v>-1</v>
      </c>
    </row>
    <row r="39" spans="1:6" ht="15">
      <c r="A39" s="50" t="s">
        <v>981</v>
      </c>
      <c r="B39" s="157">
        <v>350</v>
      </c>
      <c r="C39" s="157">
        <v>105</v>
      </c>
      <c r="D39" s="157">
        <v>-5</v>
      </c>
      <c r="E39" s="157">
        <f t="shared" si="0"/>
        <v>21</v>
      </c>
      <c r="F39" s="39">
        <v>-1</v>
      </c>
    </row>
    <row r="40" spans="1:6" ht="15">
      <c r="A40" s="50" t="s">
        <v>982</v>
      </c>
      <c r="B40" s="157">
        <v>350</v>
      </c>
      <c r="C40" s="157">
        <v>105</v>
      </c>
      <c r="D40" s="157">
        <v>-5</v>
      </c>
      <c r="E40" s="157">
        <f t="shared" si="0"/>
        <v>21</v>
      </c>
      <c r="F40" s="39">
        <v>-1</v>
      </c>
    </row>
    <row r="41" spans="1:6" ht="15">
      <c r="A41" s="50" t="s">
        <v>983</v>
      </c>
      <c r="B41" s="157">
        <v>320</v>
      </c>
      <c r="C41" s="157">
        <v>105</v>
      </c>
      <c r="D41" s="157">
        <v>-6</v>
      </c>
      <c r="E41" s="157">
        <f t="shared" si="0"/>
        <v>17.5</v>
      </c>
      <c r="F41" s="39">
        <v>-1</v>
      </c>
    </row>
    <row r="42" spans="1:6" ht="15">
      <c r="A42" s="50" t="s">
        <v>984</v>
      </c>
      <c r="B42" s="157">
        <v>375</v>
      </c>
      <c r="C42" s="157">
        <v>110</v>
      </c>
      <c r="D42" s="157">
        <v>-5</v>
      </c>
      <c r="E42" s="157">
        <f t="shared" si="0"/>
        <v>22</v>
      </c>
      <c r="F42" s="39"/>
    </row>
    <row r="43" spans="1:6" ht="30">
      <c r="A43" s="50" t="s">
        <v>985</v>
      </c>
      <c r="B43" s="157">
        <v>350</v>
      </c>
      <c r="C43" s="157">
        <v>110</v>
      </c>
      <c r="D43" s="157">
        <v>-7</v>
      </c>
      <c r="E43" s="157">
        <f t="shared" si="0"/>
        <v>15.71</v>
      </c>
      <c r="F43" s="39">
        <v>-1</v>
      </c>
    </row>
    <row r="44" spans="1:6" ht="15">
      <c r="A44" s="50" t="s">
        <v>986</v>
      </c>
      <c r="B44" s="157">
        <v>800</v>
      </c>
      <c r="C44" s="157">
        <v>115</v>
      </c>
      <c r="D44" s="157">
        <v>-5</v>
      </c>
      <c r="E44" s="157">
        <f t="shared" si="0"/>
        <v>23</v>
      </c>
      <c r="F44" s="39">
        <v>-1</v>
      </c>
    </row>
    <row r="45" spans="1:6" ht="15">
      <c r="A45" s="49" t="s">
        <v>987</v>
      </c>
      <c r="B45" s="160">
        <v>375</v>
      </c>
      <c r="C45" s="160">
        <v>115</v>
      </c>
      <c r="D45" s="160">
        <v>-7</v>
      </c>
      <c r="E45" s="23">
        <f t="shared" si="0"/>
        <v>16.43</v>
      </c>
      <c r="F45" s="23">
        <v>-1</v>
      </c>
    </row>
    <row r="46" spans="1:6" ht="15">
      <c r="A46" s="50" t="s">
        <v>988</v>
      </c>
      <c r="B46" s="157">
        <v>450</v>
      </c>
      <c r="C46" s="157">
        <v>115</v>
      </c>
      <c r="D46" s="157">
        <v>-6</v>
      </c>
      <c r="E46" s="157">
        <f t="shared" si="0"/>
        <v>19.170000000000002</v>
      </c>
      <c r="F46" s="39">
        <v>-1</v>
      </c>
    </row>
    <row r="47" spans="1:6" ht="30">
      <c r="A47" s="50" t="s">
        <v>989</v>
      </c>
      <c r="B47" s="157">
        <v>1500</v>
      </c>
      <c r="C47" s="157">
        <v>125</v>
      </c>
      <c r="D47" s="157">
        <v>-5</v>
      </c>
      <c r="E47" s="157">
        <f t="shared" si="0"/>
        <v>25</v>
      </c>
      <c r="F47" s="39">
        <v>0</v>
      </c>
    </row>
    <row r="48" spans="1:6" ht="15">
      <c r="A48" s="50" t="s">
        <v>990</v>
      </c>
      <c r="B48" s="157">
        <v>1000</v>
      </c>
      <c r="C48" s="157">
        <v>125</v>
      </c>
      <c r="D48" s="157">
        <v>-6</v>
      </c>
      <c r="E48" s="157">
        <f t="shared" si="0"/>
        <v>20.83</v>
      </c>
      <c r="F48" s="39">
        <v>-2</v>
      </c>
    </row>
    <row r="49" spans="1:6" ht="15">
      <c r="A49" s="50" t="s">
        <v>991</v>
      </c>
      <c r="B49" s="157">
        <v>500</v>
      </c>
      <c r="C49" s="157">
        <v>125</v>
      </c>
      <c r="D49" s="157">
        <v>-7</v>
      </c>
      <c r="E49" s="157">
        <f t="shared" si="0"/>
        <v>17.86</v>
      </c>
      <c r="F49" s="39">
        <v>-1</v>
      </c>
    </row>
    <row r="50" spans="1:6" ht="15">
      <c r="A50" s="50" t="s">
        <v>992</v>
      </c>
      <c r="B50" s="157">
        <v>500</v>
      </c>
      <c r="C50" s="157">
        <v>125</v>
      </c>
      <c r="D50" s="157">
        <v>-7</v>
      </c>
      <c r="E50" s="157">
        <f t="shared" si="0"/>
        <v>17.86</v>
      </c>
      <c r="F50" s="39">
        <v>-1</v>
      </c>
    </row>
    <row r="51" spans="1:6" ht="15">
      <c r="A51" s="50" t="s">
        <v>993</v>
      </c>
      <c r="B51" s="157">
        <v>450</v>
      </c>
      <c r="C51" s="157">
        <v>125</v>
      </c>
      <c r="D51" s="157">
        <v>-8</v>
      </c>
      <c r="E51" s="157">
        <f t="shared" si="0"/>
        <v>15.63</v>
      </c>
      <c r="F51" s="39">
        <v>-1</v>
      </c>
    </row>
    <row r="52" spans="1:6" ht="15">
      <c r="A52" s="50" t="s">
        <v>994</v>
      </c>
      <c r="B52" s="157">
        <v>1000</v>
      </c>
      <c r="C52" s="157">
        <v>130</v>
      </c>
      <c r="D52" s="157">
        <v>-6</v>
      </c>
      <c r="E52" s="157">
        <f t="shared" si="0"/>
        <v>21.67</v>
      </c>
      <c r="F52" s="39">
        <v>-1</v>
      </c>
    </row>
    <row r="53" spans="1:6" ht="15">
      <c r="A53" s="50" t="s">
        <v>995</v>
      </c>
      <c r="B53" s="157">
        <v>550</v>
      </c>
      <c r="C53" s="157">
        <v>130</v>
      </c>
      <c r="D53" s="157">
        <v>-7</v>
      </c>
      <c r="E53" s="157">
        <f t="shared" si="0"/>
        <v>18.57</v>
      </c>
      <c r="F53" s="39">
        <v>-1</v>
      </c>
    </row>
    <row r="54" spans="1:6" ht="15">
      <c r="A54" s="50" t="s">
        <v>996</v>
      </c>
      <c r="B54" s="157">
        <v>350</v>
      </c>
      <c r="C54" s="157">
        <v>130</v>
      </c>
      <c r="D54" s="157">
        <v>-8</v>
      </c>
      <c r="E54" s="157">
        <f t="shared" si="0"/>
        <v>16.25</v>
      </c>
      <c r="F54" s="39">
        <v>-1</v>
      </c>
    </row>
    <row r="55" spans="1:6" ht="15">
      <c r="A55" s="50" t="s">
        <v>283</v>
      </c>
      <c r="B55" s="157">
        <v>600</v>
      </c>
      <c r="C55" s="157">
        <v>130</v>
      </c>
      <c r="D55" s="157">
        <v>-10</v>
      </c>
      <c r="E55" s="157">
        <f t="shared" si="0"/>
        <v>13</v>
      </c>
      <c r="F55" s="39">
        <v>-2</v>
      </c>
    </row>
    <row r="56" spans="1:6" ht="15">
      <c r="A56" s="50" t="s">
        <v>997</v>
      </c>
      <c r="B56" s="157">
        <v>750</v>
      </c>
      <c r="C56" s="157">
        <v>135</v>
      </c>
      <c r="D56" s="157">
        <v>-7</v>
      </c>
      <c r="E56" s="157">
        <f t="shared" si="0"/>
        <v>19.29</v>
      </c>
      <c r="F56" s="39">
        <v>-1</v>
      </c>
    </row>
    <row r="57" spans="1:6" ht="15">
      <c r="A57" s="50" t="s">
        <v>998</v>
      </c>
      <c r="B57" s="157">
        <v>1800</v>
      </c>
      <c r="C57" s="157">
        <v>140</v>
      </c>
      <c r="D57" s="157">
        <v>-6</v>
      </c>
      <c r="E57" s="157">
        <f t="shared" si="0"/>
        <v>23.33</v>
      </c>
      <c r="F57" s="39">
        <v>-1</v>
      </c>
    </row>
    <row r="58" spans="1:6" ht="15">
      <c r="A58" s="50" t="s">
        <v>999</v>
      </c>
      <c r="B58" s="157">
        <v>1200</v>
      </c>
      <c r="C58" s="157">
        <v>140</v>
      </c>
      <c r="D58" s="157">
        <v>-7</v>
      </c>
      <c r="E58" s="157">
        <f t="shared" si="0"/>
        <v>20</v>
      </c>
      <c r="F58" s="39">
        <v>-1</v>
      </c>
    </row>
    <row r="59" spans="1:6" ht="15">
      <c r="A59" s="50" t="s">
        <v>1000</v>
      </c>
      <c r="B59" s="157">
        <v>650</v>
      </c>
      <c r="C59" s="157">
        <v>140</v>
      </c>
      <c r="D59" s="157">
        <v>-8</v>
      </c>
      <c r="E59" s="157">
        <f t="shared" si="0"/>
        <v>17.5</v>
      </c>
      <c r="F59" s="39">
        <v>-1</v>
      </c>
    </row>
    <row r="60" spans="1:6" ht="30">
      <c r="A60" s="50" t="s">
        <v>1001</v>
      </c>
      <c r="B60" s="157">
        <v>600</v>
      </c>
      <c r="C60" s="157">
        <v>140</v>
      </c>
      <c r="D60" s="157">
        <v>-9</v>
      </c>
      <c r="E60" s="157">
        <f t="shared" si="0"/>
        <v>15.56</v>
      </c>
      <c r="F60" s="39">
        <v>-2</v>
      </c>
    </row>
    <row r="61" spans="1:6" ht="15">
      <c r="A61" s="50" t="s">
        <v>1002</v>
      </c>
      <c r="B61" s="157">
        <v>550</v>
      </c>
      <c r="C61" s="157">
        <v>145</v>
      </c>
      <c r="D61" s="157">
        <v>-11</v>
      </c>
      <c r="E61" s="157">
        <f t="shared" si="0"/>
        <v>13.18</v>
      </c>
      <c r="F61" s="39">
        <v>-1</v>
      </c>
    </row>
    <row r="62" spans="1:6" ht="15">
      <c r="A62" s="50" t="s">
        <v>1003</v>
      </c>
      <c r="B62" s="157">
        <v>1500</v>
      </c>
      <c r="C62" s="157">
        <v>150</v>
      </c>
      <c r="D62" s="157">
        <v>-7</v>
      </c>
      <c r="E62" s="157">
        <f t="shared" si="0"/>
        <v>21.43</v>
      </c>
      <c r="F62" s="39">
        <v>-1</v>
      </c>
    </row>
    <row r="63" spans="1:6" ht="15">
      <c r="A63" s="50" t="s">
        <v>1004</v>
      </c>
      <c r="B63" s="157">
        <v>800</v>
      </c>
      <c r="C63" s="157">
        <v>150</v>
      </c>
      <c r="D63" s="157">
        <v>-9</v>
      </c>
      <c r="E63" s="157">
        <f t="shared" si="0"/>
        <v>16.670000000000002</v>
      </c>
      <c r="F63" s="39">
        <v>-1</v>
      </c>
    </row>
    <row r="64" spans="1:6" ht="15">
      <c r="A64" s="50" t="s">
        <v>1005</v>
      </c>
      <c r="B64" s="157">
        <v>2000</v>
      </c>
      <c r="C64" s="157">
        <v>160</v>
      </c>
      <c r="D64" s="157">
        <v>-7</v>
      </c>
      <c r="E64" s="157">
        <f t="shared" si="0"/>
        <v>22.86</v>
      </c>
      <c r="F64" s="39">
        <v>-1</v>
      </c>
    </row>
    <row r="65" spans="1:6" ht="30">
      <c r="A65" s="50" t="s">
        <v>1006</v>
      </c>
      <c r="B65" s="157">
        <v>1500</v>
      </c>
      <c r="C65" s="157">
        <v>160</v>
      </c>
      <c r="D65" s="157">
        <v>-8</v>
      </c>
      <c r="E65" s="158">
        <f t="shared" si="0"/>
        <v>20</v>
      </c>
      <c r="F65" s="158">
        <v>-1</v>
      </c>
    </row>
    <row r="66" spans="1:6" ht="15">
      <c r="A66" s="50" t="s">
        <v>1007</v>
      </c>
      <c r="B66" s="157">
        <v>650</v>
      </c>
      <c r="C66" s="157">
        <v>160</v>
      </c>
      <c r="D66" s="157">
        <v>-15</v>
      </c>
      <c r="E66" s="157">
        <f t="shared" si="0"/>
        <v>10.67</v>
      </c>
      <c r="F66" s="39">
        <v>-2</v>
      </c>
    </row>
    <row r="67" spans="1:6" ht="15">
      <c r="A67" s="50" t="s">
        <v>1008</v>
      </c>
      <c r="B67" s="157">
        <v>1000</v>
      </c>
      <c r="C67" s="157">
        <v>170</v>
      </c>
      <c r="D67" s="157">
        <v>-10</v>
      </c>
      <c r="E67" s="157">
        <f t="shared" si="0"/>
        <v>17</v>
      </c>
      <c r="F67" s="39">
        <v>-3</v>
      </c>
    </row>
    <row r="68" spans="1:6" ht="15">
      <c r="A68" s="48" t="s">
        <v>1009</v>
      </c>
      <c r="B68" s="161">
        <v>2000</v>
      </c>
      <c r="C68" s="161">
        <v>180</v>
      </c>
      <c r="D68" s="161">
        <v>-9</v>
      </c>
      <c r="E68" s="161">
        <f t="shared" si="0"/>
        <v>20</v>
      </c>
      <c r="F68" s="20">
        <v>-1</v>
      </c>
    </row>
    <row r="69" spans="1:6" ht="15">
      <c r="A69" s="50" t="s">
        <v>1010</v>
      </c>
      <c r="B69" s="157">
        <v>1100</v>
      </c>
      <c r="C69" s="157">
        <v>180</v>
      </c>
      <c r="D69" s="157">
        <v>-11</v>
      </c>
      <c r="E69" s="157">
        <f t="shared" si="0"/>
        <v>16.36</v>
      </c>
      <c r="F69" s="39">
        <v>-3</v>
      </c>
    </row>
    <row r="70" spans="1:6" ht="15">
      <c r="A70" s="50" t="s">
        <v>1011</v>
      </c>
      <c r="B70" s="157">
        <v>1000</v>
      </c>
      <c r="C70" s="157">
        <v>180</v>
      </c>
      <c r="D70" s="157">
        <v>-13</v>
      </c>
      <c r="E70" s="157">
        <f t="shared" si="0"/>
        <v>13.85</v>
      </c>
      <c r="F70" s="39">
        <v>-3</v>
      </c>
    </row>
    <row r="71" spans="1:6" ht="15">
      <c r="A71" s="50" t="s">
        <v>1012</v>
      </c>
      <c r="B71" s="157">
        <v>2600</v>
      </c>
      <c r="C71" s="157">
        <v>190</v>
      </c>
      <c r="D71" s="157">
        <v>-9</v>
      </c>
      <c r="E71" s="157">
        <f t="shared" si="0"/>
        <v>21.11</v>
      </c>
      <c r="F71" s="39">
        <v>-2</v>
      </c>
    </row>
    <row r="72" spans="1:6" ht="15">
      <c r="A72" s="50" t="s">
        <v>1013</v>
      </c>
      <c r="B72" s="157">
        <v>800</v>
      </c>
      <c r="C72" s="157">
        <v>190</v>
      </c>
      <c r="D72" s="157">
        <v>-18</v>
      </c>
      <c r="E72" s="157">
        <f t="shared" si="0"/>
        <v>10.56</v>
      </c>
      <c r="F72" s="39">
        <v>-2</v>
      </c>
    </row>
    <row r="73" spans="1:6" ht="15">
      <c r="A73" s="48" t="s">
        <v>1014</v>
      </c>
      <c r="B73" s="161">
        <v>2400</v>
      </c>
      <c r="C73" s="161">
        <v>200</v>
      </c>
      <c r="D73" s="161">
        <v>-10</v>
      </c>
      <c r="E73" s="161">
        <f t="shared" si="0"/>
        <v>20</v>
      </c>
      <c r="F73" s="20">
        <v>-2</v>
      </c>
    </row>
    <row r="74" spans="1:6" ht="15">
      <c r="A74" s="50" t="s">
        <v>1015</v>
      </c>
      <c r="B74" s="157">
        <v>1500</v>
      </c>
      <c r="C74" s="157">
        <v>200</v>
      </c>
      <c r="D74" s="157">
        <v>-11</v>
      </c>
      <c r="E74" s="158">
        <f t="shared" si="0"/>
        <v>18.18</v>
      </c>
      <c r="F74" s="158">
        <v>-2</v>
      </c>
    </row>
    <row r="75" spans="1:6" ht="15">
      <c r="A75" s="50" t="s">
        <v>1016</v>
      </c>
      <c r="B75" s="157">
        <v>1250</v>
      </c>
      <c r="C75" s="157">
        <v>200</v>
      </c>
      <c r="D75" s="157">
        <v>-12</v>
      </c>
      <c r="E75" s="157">
        <f t="shared" si="0"/>
        <v>16.670000000000002</v>
      </c>
      <c r="F75" s="39">
        <v>-2</v>
      </c>
    </row>
    <row r="76" spans="1:6" ht="15">
      <c r="A76" s="50" t="s">
        <v>1017</v>
      </c>
      <c r="B76" s="157">
        <v>1250</v>
      </c>
      <c r="C76" s="157">
        <v>200</v>
      </c>
      <c r="D76" s="157">
        <v>-12</v>
      </c>
      <c r="E76" s="157">
        <f t="shared" si="0"/>
        <v>16.670000000000002</v>
      </c>
      <c r="F76" s="39">
        <v>-2</v>
      </c>
    </row>
    <row r="77" spans="1:6" ht="15">
      <c r="A77" s="48" t="s">
        <v>1018</v>
      </c>
      <c r="B77" s="161">
        <v>2000</v>
      </c>
      <c r="C77" s="161">
        <v>210</v>
      </c>
      <c r="D77" s="161">
        <v>-12</v>
      </c>
      <c r="E77" s="161">
        <f t="shared" si="0"/>
        <v>17.5</v>
      </c>
      <c r="F77" s="20">
        <v>-2</v>
      </c>
    </row>
    <row r="78" spans="1:6" ht="15">
      <c r="A78" s="50" t="s">
        <v>1019</v>
      </c>
      <c r="B78" s="157">
        <v>1400</v>
      </c>
      <c r="C78" s="157">
        <v>210</v>
      </c>
      <c r="D78" s="157">
        <v>-13</v>
      </c>
      <c r="E78" s="157">
        <f t="shared" si="0"/>
        <v>16.149999999999999</v>
      </c>
      <c r="F78" s="39">
        <v>-2</v>
      </c>
    </row>
    <row r="79" spans="1:6" ht="15">
      <c r="A79" s="50" t="s">
        <v>1020</v>
      </c>
      <c r="B79" s="157">
        <v>1500</v>
      </c>
      <c r="C79" s="157">
        <v>215</v>
      </c>
      <c r="D79" s="157">
        <v>-14</v>
      </c>
      <c r="E79" s="157">
        <f t="shared" si="0"/>
        <v>15.36</v>
      </c>
      <c r="F79" s="39">
        <v>-2</v>
      </c>
    </row>
    <row r="80" spans="1:6" ht="15">
      <c r="A80" s="50" t="s">
        <v>1021</v>
      </c>
      <c r="B80" s="157">
        <v>2500</v>
      </c>
      <c r="C80" s="157">
        <v>220</v>
      </c>
      <c r="D80" s="157">
        <v>-12</v>
      </c>
      <c r="E80" s="157">
        <f t="shared" si="0"/>
        <v>18.329999999999998</v>
      </c>
      <c r="F80" s="39">
        <v>-2</v>
      </c>
    </row>
    <row r="81" spans="1:6" ht="15">
      <c r="A81" s="50" t="s">
        <v>1022</v>
      </c>
      <c r="B81" s="157">
        <v>2700</v>
      </c>
      <c r="C81" s="157">
        <v>230</v>
      </c>
      <c r="D81" s="157">
        <v>-13</v>
      </c>
      <c r="E81" s="157">
        <f t="shared" si="0"/>
        <v>17.690000000000001</v>
      </c>
      <c r="F81" s="39">
        <v>-3</v>
      </c>
    </row>
    <row r="82" spans="1:6" ht="15">
      <c r="A82" s="50" t="s">
        <v>1023</v>
      </c>
      <c r="B82" s="157">
        <v>1800</v>
      </c>
      <c r="C82" s="157">
        <v>230</v>
      </c>
      <c r="D82" s="157">
        <v>-15</v>
      </c>
      <c r="E82" s="157">
        <f t="shared" si="0"/>
        <v>15.33</v>
      </c>
      <c r="F82" s="39">
        <v>-2</v>
      </c>
    </row>
    <row r="83" spans="1:6" ht="30">
      <c r="A83" s="50" t="s">
        <v>1024</v>
      </c>
      <c r="B83" s="157">
        <v>1250</v>
      </c>
      <c r="C83" s="157">
        <v>230</v>
      </c>
      <c r="D83" s="157">
        <v>-19</v>
      </c>
      <c r="E83" s="157">
        <f t="shared" si="0"/>
        <v>12.11</v>
      </c>
      <c r="F83" s="39">
        <v>-3</v>
      </c>
    </row>
    <row r="84" spans="1:6" ht="30">
      <c r="A84" s="50" t="s">
        <v>1025</v>
      </c>
      <c r="B84" s="157">
        <v>1250</v>
      </c>
      <c r="C84" s="157">
        <v>230</v>
      </c>
      <c r="D84" s="157">
        <v>-19</v>
      </c>
      <c r="E84" s="157">
        <f t="shared" si="0"/>
        <v>12.11</v>
      </c>
      <c r="F84" s="39">
        <v>-3</v>
      </c>
    </row>
    <row r="85" spans="1:6" ht="15">
      <c r="A85" s="50" t="s">
        <v>1026</v>
      </c>
      <c r="B85" s="157">
        <v>2500</v>
      </c>
      <c r="C85" s="157">
        <v>240</v>
      </c>
      <c r="D85" s="157">
        <v>-14</v>
      </c>
      <c r="E85" s="157">
        <f t="shared" si="0"/>
        <v>17.14</v>
      </c>
      <c r="F85" s="39">
        <v>-2</v>
      </c>
    </row>
    <row r="86" spans="1:6" ht="30">
      <c r="A86" s="50" t="s">
        <v>1027</v>
      </c>
      <c r="B86" s="157">
        <v>2000</v>
      </c>
      <c r="C86" s="157">
        <v>240</v>
      </c>
      <c r="D86" s="157">
        <v>-15</v>
      </c>
      <c r="E86" s="157">
        <f t="shared" si="0"/>
        <v>16</v>
      </c>
      <c r="F86" s="39">
        <v>-2</v>
      </c>
    </row>
    <row r="87" spans="1:6" ht="15">
      <c r="A87" s="50" t="s">
        <v>1028</v>
      </c>
      <c r="B87" s="157">
        <v>1500</v>
      </c>
      <c r="C87" s="157">
        <v>240</v>
      </c>
      <c r="D87" s="157">
        <v>-20</v>
      </c>
      <c r="E87" s="157">
        <f t="shared" si="0"/>
        <v>12</v>
      </c>
      <c r="F87" s="39">
        <v>-3</v>
      </c>
    </row>
    <row r="88" spans="1:6" ht="30">
      <c r="A88" s="50" t="s">
        <v>1029</v>
      </c>
      <c r="B88" s="157">
        <v>2900</v>
      </c>
      <c r="C88" s="157">
        <v>245</v>
      </c>
      <c r="D88" s="157">
        <v>-14</v>
      </c>
      <c r="E88" s="157">
        <f t="shared" si="0"/>
        <v>17.5</v>
      </c>
      <c r="F88" s="39">
        <v>-2</v>
      </c>
    </row>
    <row r="89" spans="1:6" ht="15">
      <c r="A89" s="50" t="s">
        <v>1030</v>
      </c>
      <c r="B89" s="157">
        <v>2200</v>
      </c>
      <c r="C89" s="157">
        <v>250</v>
      </c>
      <c r="D89" s="157">
        <v>-17</v>
      </c>
      <c r="E89" s="157">
        <f t="shared" si="0"/>
        <v>14.71</v>
      </c>
      <c r="F89" s="39">
        <v>-2</v>
      </c>
    </row>
    <row r="90" spans="1:6" ht="15">
      <c r="A90" s="50" t="s">
        <v>425</v>
      </c>
      <c r="B90" s="157">
        <v>1300</v>
      </c>
      <c r="C90" s="157">
        <v>250</v>
      </c>
      <c r="D90" s="157">
        <v>-23</v>
      </c>
      <c r="E90" s="157">
        <f t="shared" si="0"/>
        <v>10.87</v>
      </c>
      <c r="F90" s="39">
        <v>-3</v>
      </c>
    </row>
    <row r="91" spans="1:6" ht="15">
      <c r="A91" s="50" t="s">
        <v>1031</v>
      </c>
      <c r="B91" s="157">
        <v>2500</v>
      </c>
      <c r="C91" s="157">
        <v>255</v>
      </c>
      <c r="D91" s="157">
        <v>-17</v>
      </c>
      <c r="E91" s="157">
        <f t="shared" si="0"/>
        <v>15</v>
      </c>
      <c r="F91" s="39">
        <v>-2</v>
      </c>
    </row>
    <row r="92" spans="1:6" ht="18.75" customHeight="1">
      <c r="A92" s="50" t="s">
        <v>1032</v>
      </c>
      <c r="B92" s="157">
        <v>2000</v>
      </c>
      <c r="C92" s="157">
        <v>255</v>
      </c>
      <c r="D92" s="157">
        <v>-22</v>
      </c>
      <c r="E92" s="157">
        <f t="shared" si="0"/>
        <v>11.59</v>
      </c>
      <c r="F92" s="39">
        <v>-3</v>
      </c>
    </row>
    <row r="93" spans="1:6" ht="30">
      <c r="A93" s="50" t="s">
        <v>1033</v>
      </c>
      <c r="B93" s="157">
        <v>2000</v>
      </c>
      <c r="C93" s="157">
        <v>260</v>
      </c>
      <c r="D93" s="157">
        <v>-15</v>
      </c>
      <c r="E93" s="157">
        <f t="shared" si="0"/>
        <v>17.329999999999998</v>
      </c>
      <c r="F93" s="39">
        <v>-3</v>
      </c>
    </row>
    <row r="94" spans="1:6" ht="15">
      <c r="A94" s="50" t="s">
        <v>1034</v>
      </c>
      <c r="B94" s="157">
        <v>2400</v>
      </c>
      <c r="C94" s="157">
        <v>260</v>
      </c>
      <c r="D94" s="157">
        <v>-17</v>
      </c>
      <c r="E94" s="157">
        <f t="shared" si="0"/>
        <v>15.29</v>
      </c>
      <c r="F94" s="39">
        <v>-3</v>
      </c>
    </row>
    <row r="95" spans="1:6" ht="15">
      <c r="A95" s="50" t="s">
        <v>1035</v>
      </c>
      <c r="B95" s="157">
        <v>2600</v>
      </c>
      <c r="C95" s="157">
        <v>265</v>
      </c>
      <c r="D95" s="157">
        <v>-18</v>
      </c>
      <c r="E95" s="157">
        <f t="shared" si="0"/>
        <v>14.72</v>
      </c>
      <c r="F95" s="39">
        <v>-2</v>
      </c>
    </row>
    <row r="96" spans="1:6" ht="30">
      <c r="A96" s="50" t="s">
        <v>1036</v>
      </c>
      <c r="B96" s="157">
        <v>2700</v>
      </c>
      <c r="C96" s="157">
        <v>270</v>
      </c>
      <c r="D96" s="157">
        <v>-18</v>
      </c>
      <c r="E96" s="157">
        <f t="shared" si="0"/>
        <v>15</v>
      </c>
      <c r="F96" s="39">
        <v>-2</v>
      </c>
    </row>
    <row r="97" spans="1:6" ht="15">
      <c r="A97" s="50" t="s">
        <v>1037</v>
      </c>
      <c r="B97" s="157">
        <v>3500</v>
      </c>
      <c r="C97" s="157">
        <v>275</v>
      </c>
      <c r="D97" s="157">
        <v>-17</v>
      </c>
      <c r="E97" s="157">
        <f t="shared" si="0"/>
        <v>16.18</v>
      </c>
      <c r="F97" s="39">
        <v>-2</v>
      </c>
    </row>
    <row r="98" spans="1:6" ht="30">
      <c r="A98" s="50" t="s">
        <v>1038</v>
      </c>
      <c r="B98" s="157">
        <v>2800</v>
      </c>
      <c r="C98" s="162">
        <v>275</v>
      </c>
      <c r="D98" s="157">
        <v>-18</v>
      </c>
      <c r="E98" s="157">
        <f t="shared" si="0"/>
        <v>15.28</v>
      </c>
      <c r="F98" s="39">
        <v>-2</v>
      </c>
    </row>
    <row r="99" spans="1:6" ht="15">
      <c r="A99" s="50" t="s">
        <v>1039</v>
      </c>
      <c r="B99" s="157">
        <v>3000</v>
      </c>
      <c r="C99" s="157">
        <v>280</v>
      </c>
      <c r="D99" s="157">
        <v>-19</v>
      </c>
      <c r="E99" s="157">
        <f t="shared" si="0"/>
        <v>14.74</v>
      </c>
      <c r="F99" s="39">
        <v>-3</v>
      </c>
    </row>
    <row r="100" spans="1:6" ht="15">
      <c r="A100" s="50" t="s">
        <v>1040</v>
      </c>
      <c r="B100" s="157">
        <v>4000</v>
      </c>
      <c r="C100" s="157">
        <v>290</v>
      </c>
      <c r="D100" s="157">
        <v>-18</v>
      </c>
      <c r="E100" s="157">
        <f t="shared" si="0"/>
        <v>16.11</v>
      </c>
      <c r="F100" s="39">
        <v>-2</v>
      </c>
    </row>
    <row r="101" spans="1:6" ht="30">
      <c r="A101" s="50" t="s">
        <v>1041</v>
      </c>
      <c r="B101" s="157">
        <v>3000</v>
      </c>
      <c r="C101" s="157">
        <v>290</v>
      </c>
      <c r="D101" s="157">
        <v>-19</v>
      </c>
      <c r="E101" s="157">
        <f t="shared" si="0"/>
        <v>15.26</v>
      </c>
      <c r="F101" s="39">
        <v>-3</v>
      </c>
    </row>
    <row r="102" spans="1:6" ht="15">
      <c r="A102" s="50" t="s">
        <v>1042</v>
      </c>
      <c r="B102" s="157">
        <v>3200</v>
      </c>
      <c r="C102" s="157">
        <v>290</v>
      </c>
      <c r="D102" s="157">
        <v>-20</v>
      </c>
      <c r="E102" s="157">
        <f t="shared" si="0"/>
        <v>14.5</v>
      </c>
      <c r="F102" s="39">
        <v>-3</v>
      </c>
    </row>
    <row r="103" spans="1:6" ht="15">
      <c r="A103" s="50" t="s">
        <v>1043</v>
      </c>
      <c r="B103" s="157">
        <v>3700</v>
      </c>
      <c r="C103" s="157">
        <v>300</v>
      </c>
      <c r="D103" s="157">
        <v>-18</v>
      </c>
      <c r="E103" s="157">
        <f t="shared" si="0"/>
        <v>16.670000000000002</v>
      </c>
      <c r="F103" s="39">
        <v>-3</v>
      </c>
    </row>
    <row r="104" spans="1:6" ht="15">
      <c r="A104" s="50" t="s">
        <v>144</v>
      </c>
      <c r="B104" s="157">
        <v>3500</v>
      </c>
      <c r="C104" s="157">
        <v>300</v>
      </c>
      <c r="D104" s="157">
        <v>-20</v>
      </c>
      <c r="E104" s="157">
        <f t="shared" si="0"/>
        <v>15</v>
      </c>
      <c r="F104" s="39">
        <v>-3</v>
      </c>
    </row>
    <row r="105" spans="1:6" ht="15">
      <c r="A105" s="50" t="s">
        <v>1044</v>
      </c>
      <c r="B105" s="157">
        <v>4500</v>
      </c>
      <c r="C105" s="157">
        <v>300</v>
      </c>
      <c r="D105" s="157">
        <v>-19</v>
      </c>
      <c r="E105" s="157">
        <f t="shared" si="0"/>
        <v>15.79</v>
      </c>
      <c r="F105" s="39">
        <v>-3</v>
      </c>
    </row>
    <row r="106" spans="1:6" ht="15">
      <c r="A106" s="50" t="s">
        <v>1045</v>
      </c>
      <c r="B106" s="157">
        <v>5000</v>
      </c>
      <c r="C106" s="157">
        <v>315</v>
      </c>
      <c r="D106" s="157">
        <v>-20</v>
      </c>
      <c r="E106" s="157">
        <f t="shared" si="0"/>
        <v>15.75</v>
      </c>
      <c r="F106" s="39">
        <v>-3</v>
      </c>
    </row>
    <row r="107" spans="1:6" ht="15">
      <c r="A107" s="50" t="s">
        <v>1046</v>
      </c>
      <c r="B107" s="157">
        <v>4000</v>
      </c>
      <c r="C107" s="157">
        <v>320</v>
      </c>
      <c r="D107" s="157">
        <v>-21</v>
      </c>
      <c r="E107" s="157">
        <f t="shared" si="0"/>
        <v>15.24</v>
      </c>
      <c r="F107" s="39">
        <v>-3</v>
      </c>
    </row>
    <row r="108" spans="1:6" ht="15">
      <c r="A108" s="50" t="s">
        <v>1047</v>
      </c>
      <c r="B108" s="157">
        <v>5500</v>
      </c>
      <c r="C108" s="157">
        <v>330</v>
      </c>
      <c r="D108" s="157">
        <v>-21</v>
      </c>
      <c r="E108" s="157">
        <f t="shared" si="0"/>
        <v>15.71</v>
      </c>
      <c r="F108" s="39">
        <v>-3</v>
      </c>
    </row>
    <row r="109" spans="1:6" ht="15">
      <c r="A109" s="50" t="s">
        <v>1048</v>
      </c>
      <c r="B109" s="157">
        <v>6000</v>
      </c>
      <c r="C109" s="157">
        <v>340</v>
      </c>
      <c r="D109" s="157">
        <v>-22</v>
      </c>
      <c r="E109" s="157">
        <f t="shared" si="0"/>
        <v>15.45</v>
      </c>
      <c r="F109" s="39">
        <v>-3</v>
      </c>
    </row>
    <row r="110" spans="1:6" ht="15">
      <c r="A110" s="50" t="s">
        <v>1049</v>
      </c>
      <c r="B110" s="157">
        <v>4500</v>
      </c>
      <c r="C110" s="157">
        <v>360</v>
      </c>
      <c r="D110" s="157">
        <v>-26</v>
      </c>
      <c r="E110" s="157">
        <f t="shared" si="0"/>
        <v>13.85</v>
      </c>
      <c r="F110" s="39">
        <v>-4</v>
      </c>
    </row>
  </sheetData>
  <phoneticPr fontId="2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10"/>
  <sheetViews>
    <sheetView workbookViewId="0">
      <selection activeCell="F21" sqref="F21"/>
    </sheetView>
  </sheetViews>
  <sheetFormatPr defaultColWidth="12.5703125" defaultRowHeight="15.75" customHeight="1"/>
  <cols>
    <col min="1" max="1" width="15.85546875" customWidth="1"/>
    <col min="6" max="6" width="16.28515625" customWidth="1"/>
  </cols>
  <sheetData>
    <row r="1" spans="1:9" ht="15.75" customHeight="1">
      <c r="A1" s="164" t="s">
        <v>1058</v>
      </c>
      <c r="B1" s="165" t="s">
        <v>1059</v>
      </c>
      <c r="C1" s="165" t="s">
        <v>1060</v>
      </c>
      <c r="D1" s="166" t="s">
        <v>1061</v>
      </c>
      <c r="E1" s="140"/>
      <c r="F1" s="164" t="s">
        <v>1062</v>
      </c>
      <c r="G1" s="165" t="s">
        <v>1059</v>
      </c>
      <c r="H1" s="165" t="s">
        <v>1060</v>
      </c>
      <c r="I1" s="166" t="s">
        <v>1061</v>
      </c>
    </row>
    <row r="2" spans="1:9" ht="15.75" customHeight="1">
      <c r="A2" s="142" t="s">
        <v>263</v>
      </c>
      <c r="B2" s="163">
        <v>25</v>
      </c>
      <c r="C2" s="163">
        <v>0</v>
      </c>
      <c r="D2" s="158">
        <f t="shared" ref="D2:D10" si="0">IFERROR(ABS(ROUND(#REF!/E:E,2)),0)</f>
        <v>0</v>
      </c>
      <c r="E2" s="140"/>
      <c r="F2" s="142" t="s">
        <v>264</v>
      </c>
      <c r="G2" s="163">
        <v>95</v>
      </c>
      <c r="H2" s="163">
        <v>-8</v>
      </c>
      <c r="I2" s="158">
        <f t="shared" ref="I2:I4" si="1">IFERROR(ABS(ROUND(J:J/K:K,2)),0)</f>
        <v>0</v>
      </c>
    </row>
    <row r="3" spans="1:9" ht="15.75" customHeight="1">
      <c r="A3" s="142" t="s">
        <v>1050</v>
      </c>
      <c r="B3" s="163">
        <v>100</v>
      </c>
      <c r="C3" s="163">
        <v>-14</v>
      </c>
      <c r="D3" s="158">
        <f t="shared" si="0"/>
        <v>0</v>
      </c>
      <c r="E3" s="140"/>
      <c r="F3" s="142" t="s">
        <v>283</v>
      </c>
      <c r="G3" s="163">
        <v>130</v>
      </c>
      <c r="H3" s="163">
        <v>-10</v>
      </c>
      <c r="I3" s="158">
        <f t="shared" si="1"/>
        <v>0</v>
      </c>
    </row>
    <row r="4" spans="1:9" ht="15.75" customHeight="1">
      <c r="A4" s="142" t="s">
        <v>1051</v>
      </c>
      <c r="B4" s="163">
        <v>135</v>
      </c>
      <c r="C4" s="163">
        <v>-16</v>
      </c>
      <c r="D4" s="158">
        <f t="shared" si="0"/>
        <v>0</v>
      </c>
      <c r="E4" s="140"/>
      <c r="F4" s="142" t="s">
        <v>317</v>
      </c>
      <c r="G4" s="163">
        <v>180</v>
      </c>
      <c r="H4" s="163">
        <v>-13</v>
      </c>
      <c r="I4" s="158">
        <f t="shared" si="1"/>
        <v>0</v>
      </c>
    </row>
    <row r="5" spans="1:9" ht="15.75" customHeight="1">
      <c r="A5" s="142" t="s">
        <v>1052</v>
      </c>
      <c r="B5" s="163">
        <v>155</v>
      </c>
      <c r="C5" s="163">
        <v>-22</v>
      </c>
      <c r="D5" s="158">
        <f t="shared" si="0"/>
        <v>0</v>
      </c>
      <c r="E5" s="140"/>
      <c r="F5" s="140"/>
      <c r="G5" s="140"/>
      <c r="H5" s="140"/>
      <c r="I5" s="140"/>
    </row>
    <row r="6" spans="1:9" ht="15.75" customHeight="1">
      <c r="A6" s="142" t="s">
        <v>1053</v>
      </c>
      <c r="B6" s="163">
        <v>175</v>
      </c>
      <c r="C6" s="163">
        <v>-24</v>
      </c>
      <c r="D6" s="158">
        <f t="shared" si="0"/>
        <v>0</v>
      </c>
      <c r="E6" s="140"/>
      <c r="F6" s="140"/>
      <c r="G6" s="140"/>
      <c r="H6" s="140"/>
      <c r="I6" s="140"/>
    </row>
    <row r="7" spans="1:9" ht="15.75" customHeight="1">
      <c r="A7" s="142" t="s">
        <v>1054</v>
      </c>
      <c r="B7" s="163">
        <v>200</v>
      </c>
      <c r="C7" s="163">
        <v>-26</v>
      </c>
      <c r="D7" s="158">
        <f t="shared" si="0"/>
        <v>0</v>
      </c>
      <c r="E7" s="140"/>
      <c r="F7" s="140"/>
      <c r="G7" s="140"/>
      <c r="H7" s="140"/>
      <c r="I7" s="140"/>
    </row>
    <row r="8" spans="1:9" ht="15.75" customHeight="1">
      <c r="A8" s="142" t="s">
        <v>1055</v>
      </c>
      <c r="B8" s="163">
        <v>220</v>
      </c>
      <c r="C8" s="163">
        <v>-28</v>
      </c>
      <c r="D8" s="158">
        <f t="shared" si="0"/>
        <v>0</v>
      </c>
      <c r="E8" s="140"/>
      <c r="F8" s="140"/>
      <c r="G8" s="140"/>
      <c r="H8" s="140"/>
      <c r="I8" s="140"/>
    </row>
    <row r="9" spans="1:9" ht="15.75" customHeight="1">
      <c r="A9" s="142" t="s">
        <v>1056</v>
      </c>
      <c r="B9" s="163">
        <v>235</v>
      </c>
      <c r="C9" s="163">
        <v>-32</v>
      </c>
      <c r="D9" s="158">
        <f t="shared" si="0"/>
        <v>0</v>
      </c>
      <c r="E9" s="140"/>
      <c r="F9" s="140"/>
      <c r="G9" s="140"/>
      <c r="H9" s="140"/>
      <c r="I9" s="140"/>
    </row>
    <row r="10" spans="1:9" ht="15.75" customHeight="1">
      <c r="A10" s="142" t="s">
        <v>1057</v>
      </c>
      <c r="B10" s="163">
        <v>250</v>
      </c>
      <c r="C10" s="163">
        <v>-34</v>
      </c>
      <c r="D10" s="158">
        <f t="shared" si="0"/>
        <v>0</v>
      </c>
      <c r="E10" s="140"/>
      <c r="F10" s="140"/>
      <c r="G10" s="140"/>
      <c r="H10" s="140"/>
      <c r="I10" s="140"/>
    </row>
  </sheetData>
  <phoneticPr fontId="26"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85BF-5ABE-4E12-AE50-5CFFB05E131F}">
  <dimension ref="A1:B31"/>
  <sheetViews>
    <sheetView zoomScale="145" zoomScaleNormal="145" workbookViewId="0">
      <selection activeCell="B12" sqref="B12"/>
    </sheetView>
  </sheetViews>
  <sheetFormatPr defaultRowHeight="12.75"/>
  <cols>
    <col min="1" max="1" width="19.7109375" customWidth="1"/>
    <col min="2" max="2" width="19.42578125" customWidth="1"/>
  </cols>
  <sheetData>
    <row r="1" spans="1:2">
      <c r="A1" t="s">
        <v>2571</v>
      </c>
      <c r="B1" s="298" t="s">
        <v>2600</v>
      </c>
    </row>
    <row r="2" spans="1:2">
      <c r="A2" t="s">
        <v>2572</v>
      </c>
      <c r="B2" s="298" t="s">
        <v>2601</v>
      </c>
    </row>
    <row r="3" spans="1:2">
      <c r="A3" t="s">
        <v>2573</v>
      </c>
      <c r="B3" s="298" t="s">
        <v>2602</v>
      </c>
    </row>
    <row r="4" spans="1:2">
      <c r="A4" t="s">
        <v>2574</v>
      </c>
      <c r="B4" s="298" t="s">
        <v>2603</v>
      </c>
    </row>
    <row r="5" spans="1:2">
      <c r="A5" t="s">
        <v>2575</v>
      </c>
      <c r="B5" s="298" t="s">
        <v>2604</v>
      </c>
    </row>
    <row r="6" spans="1:2">
      <c r="A6" t="s">
        <v>2576</v>
      </c>
      <c r="B6" s="298" t="s">
        <v>2605</v>
      </c>
    </row>
    <row r="7" spans="1:2">
      <c r="A7" t="s">
        <v>2577</v>
      </c>
      <c r="B7" s="298" t="s">
        <v>2606</v>
      </c>
    </row>
    <row r="8" spans="1:2">
      <c r="A8" t="s">
        <v>2578</v>
      </c>
      <c r="B8" s="298" t="s">
        <v>2607</v>
      </c>
    </row>
    <row r="9" spans="1:2">
      <c r="A9" t="s">
        <v>2579</v>
      </c>
      <c r="B9" s="298" t="s">
        <v>2608</v>
      </c>
    </row>
    <row r="10" spans="1:2">
      <c r="A10" t="s">
        <v>2580</v>
      </c>
      <c r="B10" s="298" t="s">
        <v>2609</v>
      </c>
    </row>
    <row r="11" spans="1:2">
      <c r="A11" t="s">
        <v>2581</v>
      </c>
      <c r="B11" s="298" t="s">
        <v>2610</v>
      </c>
    </row>
    <row r="12" spans="1:2">
      <c r="A12" t="s">
        <v>2582</v>
      </c>
      <c r="B12" s="298" t="s">
        <v>2611</v>
      </c>
    </row>
    <row r="14" spans="1:2">
      <c r="A14" t="s">
        <v>2583</v>
      </c>
      <c r="B14" s="298" t="s">
        <v>2612</v>
      </c>
    </row>
    <row r="15" spans="1:2">
      <c r="A15" t="s">
        <v>2584</v>
      </c>
      <c r="B15" s="298" t="s">
        <v>2613</v>
      </c>
    </row>
    <row r="16" spans="1:2">
      <c r="A16" t="s">
        <v>2585</v>
      </c>
      <c r="B16" s="298" t="s">
        <v>2614</v>
      </c>
    </row>
    <row r="17" spans="1:2">
      <c r="A17" t="s">
        <v>2586</v>
      </c>
      <c r="B17" s="298" t="s">
        <v>2615</v>
      </c>
    </row>
    <row r="18" spans="1:2">
      <c r="A18" t="s">
        <v>2587</v>
      </c>
      <c r="B18" s="298" t="s">
        <v>2616</v>
      </c>
    </row>
    <row r="19" spans="1:2">
      <c r="A19" t="s">
        <v>2588</v>
      </c>
      <c r="B19" s="298" t="s">
        <v>2617</v>
      </c>
    </row>
    <row r="20" spans="1:2">
      <c r="A20" t="s">
        <v>2589</v>
      </c>
      <c r="B20" s="298" t="s">
        <v>2618</v>
      </c>
    </row>
    <row r="22" spans="1:2">
      <c r="A22" t="s">
        <v>2590</v>
      </c>
      <c r="B22" s="298" t="s">
        <v>2619</v>
      </c>
    </row>
    <row r="23" spans="1:2">
      <c r="A23" t="s">
        <v>2591</v>
      </c>
      <c r="B23" s="298" t="s">
        <v>2620</v>
      </c>
    </row>
    <row r="24" spans="1:2">
      <c r="A24" t="s">
        <v>2592</v>
      </c>
      <c r="B24" s="298" t="s">
        <v>2621</v>
      </c>
    </row>
    <row r="25" spans="1:2">
      <c r="A25" t="s">
        <v>2593</v>
      </c>
      <c r="B25" s="298" t="s">
        <v>2622</v>
      </c>
    </row>
    <row r="26" spans="1:2">
      <c r="A26" t="s">
        <v>2594</v>
      </c>
      <c r="B26" s="298" t="s">
        <v>2623</v>
      </c>
    </row>
    <row r="27" spans="1:2">
      <c r="A27" t="s">
        <v>2595</v>
      </c>
      <c r="B27" s="298" t="s">
        <v>2624</v>
      </c>
    </row>
    <row r="28" spans="1:2">
      <c r="A28" t="s">
        <v>2596</v>
      </c>
      <c r="B28" s="298" t="s">
        <v>2625</v>
      </c>
    </row>
    <row r="29" spans="1:2">
      <c r="A29" t="s">
        <v>2597</v>
      </c>
      <c r="B29" s="298" t="s">
        <v>2626</v>
      </c>
    </row>
    <row r="30" spans="1:2">
      <c r="A30" t="s">
        <v>2598</v>
      </c>
      <c r="B30" s="298" t="s">
        <v>2627</v>
      </c>
    </row>
    <row r="31" spans="1:2">
      <c r="A31" t="s">
        <v>2599</v>
      </c>
      <c r="B31" s="298" t="s">
        <v>2628</v>
      </c>
    </row>
  </sheetData>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重要改动</vt:lpstr>
      <vt:lpstr>特技（暂不翻译，游戏内人物界面点击"动技"按钮更直观</vt:lpstr>
      <vt:lpstr>特技树倍率（重要）</vt:lpstr>
      <vt:lpstr>背景（重要）</vt:lpstr>
      <vt:lpstr>敌人（暂未翻译）</vt:lpstr>
      <vt:lpstr>武器</vt:lpstr>
      <vt:lpstr>护甲</vt:lpstr>
      <vt:lpstr>头盔</vt:lpstr>
      <vt:lpstr>敌人护甲</vt:lpstr>
      <vt:lpstr>新增敌人译名对照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Fael</dc:creator>
  <cp:lastModifiedBy>yue zhang</cp:lastModifiedBy>
  <dcterms:created xsi:type="dcterms:W3CDTF">2024-09-26T09:09:14Z</dcterms:created>
  <dcterms:modified xsi:type="dcterms:W3CDTF">2025-06-16T02:33:03Z</dcterms:modified>
</cp:coreProperties>
</file>